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b Budget Comparison" sheetId="1" r:id="rId4"/>
  </sheets>
  <definedNames/>
  <calcPr/>
  <extLst>
    <ext uri="GoogleSheetsCustomDataVersion2">
      <go:sheetsCustomData xmlns:go="http://customooxmlschemas.google.com/" r:id="rId5" roundtripDataChecksum="ANSEbg+84VU+CuMpeITMJujaYlegbhlddx0pVIa6vGc="/>
    </ext>
  </extLst>
</workbook>
</file>

<file path=xl/sharedStrings.xml><?xml version="1.0" encoding="utf-8"?>
<sst xmlns="http://schemas.openxmlformats.org/spreadsheetml/2006/main" count="59" uniqueCount="59">
  <si>
    <t>William F. Laman Public Library</t>
  </si>
  <si>
    <t>Hub-Only Budget Comparison: 2025 vs 2026</t>
  </si>
  <si>
    <t>Category</t>
  </si>
  <si>
    <t>2025 Amended</t>
  </si>
  <si>
    <t>2026 Proposed</t>
  </si>
  <si>
    <t>Change</t>
  </si>
  <si>
    <t>REVENUE</t>
  </si>
  <si>
    <t>Fines and fees - Hub</t>
  </si>
  <si>
    <t>Other income - Hub</t>
  </si>
  <si>
    <t>Interest income - Hub</t>
  </si>
  <si>
    <t>Grants - Hub</t>
  </si>
  <si>
    <t>Hub Operations Reimbursement</t>
  </si>
  <si>
    <t>Fund Balance Transfer - Hub</t>
  </si>
  <si>
    <t>Total Hub Revenue</t>
  </si>
  <si>
    <t>EXPENDITURES</t>
  </si>
  <si>
    <t>Personnel (16 FTE @ $45K fully loaded)</t>
  </si>
  <si>
    <t>Salaries, Benefits, FICA, Retirement, etc.</t>
  </si>
  <si>
    <t xml:space="preserve">  Subtotal Personnel</t>
  </si>
  <si>
    <t>Capital Outlay</t>
  </si>
  <si>
    <t>FFE - Hub</t>
  </si>
  <si>
    <t>Hub Property Lease</t>
  </si>
  <si>
    <t xml:space="preserve">  Subtotal Capital Outlay</t>
  </si>
  <si>
    <t>Office/Janitorial</t>
  </si>
  <si>
    <t>Office Supplies - Hub</t>
  </si>
  <si>
    <t>Studio Supplies/Maintenance - Hub</t>
  </si>
  <si>
    <t>Copiers - Hub</t>
  </si>
  <si>
    <t xml:space="preserve">  Subtotal Office/Janitorial</t>
  </si>
  <si>
    <t>Events/Services</t>
  </si>
  <si>
    <t>Hub Events/Classes</t>
  </si>
  <si>
    <t>Outreach, Partnerships - Hub</t>
  </si>
  <si>
    <t xml:space="preserve">  Subtotal Events/Services</t>
  </si>
  <si>
    <t>Systems</t>
  </si>
  <si>
    <t>Systems Maint. - Hub</t>
  </si>
  <si>
    <t xml:space="preserve">  Subtotal Systems</t>
  </si>
  <si>
    <t>Utilities</t>
  </si>
  <si>
    <t>Data Lines - Hub</t>
  </si>
  <si>
    <t>Electric - Hub</t>
  </si>
  <si>
    <t>Utilities/Gas - Hub</t>
  </si>
  <si>
    <t>Water - Hub</t>
  </si>
  <si>
    <t xml:space="preserve">  Subtotal Utilities</t>
  </si>
  <si>
    <t>Maintenance</t>
  </si>
  <si>
    <t>Bldg Maint. - Hub</t>
  </si>
  <si>
    <t>Vehicle Maintenance - Hub</t>
  </si>
  <si>
    <t>Lawn/Landscape Maint. - Hub</t>
  </si>
  <si>
    <t>Fuel - Hub</t>
  </si>
  <si>
    <t xml:space="preserve">  Subtotal Maintenance</t>
  </si>
  <si>
    <t>Insurance</t>
  </si>
  <si>
    <t>Insurance - Hub</t>
  </si>
  <si>
    <t xml:space="preserve">  Subtotal Insurance</t>
  </si>
  <si>
    <t>Miscellaneous</t>
  </si>
  <si>
    <t>Misc/Contingency - Hub</t>
  </si>
  <si>
    <t>Credit Card Fees - Hub</t>
  </si>
  <si>
    <t>Bank Fees - Hub</t>
  </si>
  <si>
    <t xml:space="preserve">  Subtotal Miscellaneous</t>
  </si>
  <si>
    <t>TOTAL HUB EXPENDITURES</t>
  </si>
  <si>
    <t>NET POSITION (Revenue - Expenditures)</t>
  </si>
  <si>
    <t>ASSUMPTIONS:</t>
  </si>
  <si>
    <t>• Personnel: 16 FTE × $45,000 fully loaded (includes salary, benefits, FICA, retirement, insurance, etc.)</t>
  </si>
  <si>
    <t>• 2026 personnel scaled 3% to reflect library-wide cost increases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</si>
</sst>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8">
    <font>
      <sz val="11.0"/>
      <color theme="1"/>
      <name val="Calibri"/>
      <scheme val="minor"/>
    </font>
    <font>
      <b/>
      <sz val="14.0"/>
      <color theme="1"/>
      <name val="Cambria"/>
    </font>
    <font>
      <b/>
      <sz val="11.0"/>
      <color rgb="FFFFFFFF"/>
      <name val="Cambria"/>
    </font>
    <font>
      <b/>
      <sz val="11.0"/>
      <color theme="1"/>
      <name val="Cambria"/>
    </font>
    <font>
      <sz val="11.0"/>
      <color theme="1"/>
      <name val="Calibri"/>
    </font>
    <font>
      <b/>
      <i/>
      <sz val="11.0"/>
      <color theme="1"/>
      <name val="Cambria"/>
    </font>
    <font>
      <i/>
      <sz val="11.0"/>
      <color theme="1"/>
      <name val="Cambria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1" fillId="3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3" fontId="3" numFmtId="164" xfId="0" applyAlignment="1" applyBorder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3" width="18.0"/>
    <col customWidth="1" min="4" max="4" width="15.0"/>
    <col customWidth="1" min="5" max="26" width="8.71"/>
  </cols>
  <sheetData>
    <row r="1">
      <c r="A1" s="1" t="s">
        <v>0</v>
      </c>
    </row>
    <row r="2">
      <c r="A2" s="1" t="s">
        <v>1</v>
      </c>
    </row>
    <row r="4">
      <c r="A4" s="2" t="s">
        <v>2</v>
      </c>
      <c r="B4" s="2" t="s">
        <v>3</v>
      </c>
      <c r="C4" s="2" t="s">
        <v>4</v>
      </c>
      <c r="D4" s="2" t="s">
        <v>5</v>
      </c>
    </row>
    <row r="5">
      <c r="A5" s="3" t="s">
        <v>6</v>
      </c>
      <c r="B5" s="4"/>
      <c r="C5" s="4"/>
      <c r="D5" s="4"/>
    </row>
    <row r="6">
      <c r="A6" s="5" t="s">
        <v>7</v>
      </c>
      <c r="B6" s="6">
        <v>69000.0</v>
      </c>
      <c r="C6" s="6">
        <v>80000.0</v>
      </c>
      <c r="D6" s="6">
        <f t="shared" ref="D6:D12" si="1">C6-B6</f>
        <v>11000</v>
      </c>
    </row>
    <row r="7">
      <c r="A7" s="5" t="s">
        <v>8</v>
      </c>
      <c r="B7" s="6">
        <v>5000.0</v>
      </c>
      <c r="C7" s="6">
        <v>2600.0</v>
      </c>
      <c r="D7" s="6">
        <f t="shared" si="1"/>
        <v>-2400</v>
      </c>
    </row>
    <row r="8">
      <c r="A8" s="5" t="s">
        <v>9</v>
      </c>
      <c r="B8" s="6">
        <v>689.0</v>
      </c>
      <c r="C8" s="6">
        <v>600.0</v>
      </c>
      <c r="D8" s="6">
        <f t="shared" si="1"/>
        <v>-89</v>
      </c>
    </row>
    <row r="9">
      <c r="A9" s="5" t="s">
        <v>10</v>
      </c>
      <c r="B9" s="6">
        <v>440835.0</v>
      </c>
      <c r="C9" s="6">
        <v>350000.0</v>
      </c>
      <c r="D9" s="6">
        <f t="shared" si="1"/>
        <v>-90835</v>
      </c>
    </row>
    <row r="10">
      <c r="A10" s="5" t="s">
        <v>11</v>
      </c>
      <c r="B10" s="6">
        <v>76000.0</v>
      </c>
      <c r="C10" s="6">
        <v>0.0</v>
      </c>
      <c r="D10" s="6">
        <f t="shared" si="1"/>
        <v>-76000</v>
      </c>
    </row>
    <row r="11">
      <c r="A11" s="5" t="s">
        <v>12</v>
      </c>
      <c r="B11" s="6">
        <v>0.0</v>
      </c>
      <c r="C11" s="6">
        <v>0.0</v>
      </c>
      <c r="D11" s="6">
        <f t="shared" si="1"/>
        <v>0</v>
      </c>
    </row>
    <row r="12">
      <c r="A12" s="7" t="s">
        <v>13</v>
      </c>
      <c r="B12" s="8">
        <f t="shared" ref="B12:C12" si="2">SUM(B6:B11)</f>
        <v>591524</v>
      </c>
      <c r="C12" s="8">
        <f t="shared" si="2"/>
        <v>433200</v>
      </c>
      <c r="D12" s="8">
        <f t="shared" si="1"/>
        <v>-158324</v>
      </c>
    </row>
    <row r="14">
      <c r="A14" s="3" t="s">
        <v>14</v>
      </c>
      <c r="B14" s="4"/>
      <c r="C14" s="4"/>
      <c r="D14" s="4"/>
    </row>
    <row r="15">
      <c r="A15" s="9" t="s">
        <v>15</v>
      </c>
      <c r="B15" s="5"/>
      <c r="C15" s="5"/>
      <c r="D15" s="5"/>
    </row>
    <row r="16">
      <c r="A16" s="5" t="s">
        <v>16</v>
      </c>
      <c r="B16" s="6">
        <v>720000.0</v>
      </c>
      <c r="C16" s="6">
        <v>741600.0</v>
      </c>
      <c r="D16" s="6">
        <f t="shared" ref="D16:D17" si="4">C16-B16</f>
        <v>21600</v>
      </c>
    </row>
    <row r="17">
      <c r="A17" s="10" t="s">
        <v>17</v>
      </c>
      <c r="B17" s="6">
        <f t="shared" ref="B17:C17" si="3">SUM(B16)</f>
        <v>720000</v>
      </c>
      <c r="C17" s="6">
        <f t="shared" si="3"/>
        <v>741600</v>
      </c>
      <c r="D17" s="6">
        <f t="shared" si="4"/>
        <v>21600</v>
      </c>
    </row>
    <row r="18">
      <c r="A18" s="9" t="s">
        <v>18</v>
      </c>
      <c r="B18" s="5"/>
      <c r="C18" s="5"/>
      <c r="D18" s="5"/>
    </row>
    <row r="19">
      <c r="A19" s="5" t="s">
        <v>19</v>
      </c>
      <c r="B19" s="6">
        <v>30000.0</v>
      </c>
      <c r="C19" s="6">
        <v>10000.0</v>
      </c>
      <c r="D19" s="6">
        <f t="shared" ref="D19:D21" si="5">C19-B19</f>
        <v>-20000</v>
      </c>
    </row>
    <row r="20">
      <c r="A20" s="5" t="s">
        <v>20</v>
      </c>
      <c r="B20" s="6">
        <v>150000.0</v>
      </c>
      <c r="C20" s="6">
        <v>100000.0</v>
      </c>
      <c r="D20" s="6">
        <f t="shared" si="5"/>
        <v>-50000</v>
      </c>
    </row>
    <row r="21" ht="15.75" customHeight="1">
      <c r="A21" s="10" t="s">
        <v>21</v>
      </c>
      <c r="B21" s="6">
        <f t="shared" ref="B21:C21" si="6">SUM(B19:B20)</f>
        <v>180000</v>
      </c>
      <c r="C21" s="6">
        <f t="shared" si="6"/>
        <v>110000</v>
      </c>
      <c r="D21" s="6">
        <f t="shared" si="5"/>
        <v>-70000</v>
      </c>
    </row>
    <row r="22" ht="15.75" customHeight="1">
      <c r="A22" s="9" t="s">
        <v>22</v>
      </c>
      <c r="B22" s="5"/>
      <c r="C22" s="5"/>
      <c r="D22" s="5"/>
    </row>
    <row r="23" ht="15.75" customHeight="1">
      <c r="A23" s="5" t="s">
        <v>23</v>
      </c>
      <c r="B23" s="6">
        <v>1300.0</v>
      </c>
      <c r="C23" s="6">
        <v>0.0</v>
      </c>
      <c r="D23" s="6">
        <f t="shared" ref="D23:D26" si="7">C23-B23</f>
        <v>-1300</v>
      </c>
    </row>
    <row r="24" ht="15.75" customHeight="1">
      <c r="A24" s="5" t="s">
        <v>24</v>
      </c>
      <c r="B24" s="6">
        <v>0.0</v>
      </c>
      <c r="C24" s="6">
        <v>0.0</v>
      </c>
      <c r="D24" s="6">
        <f t="shared" si="7"/>
        <v>0</v>
      </c>
    </row>
    <row r="25" ht="15.75" customHeight="1">
      <c r="A25" s="5" t="s">
        <v>25</v>
      </c>
      <c r="B25" s="6">
        <v>1500.0</v>
      </c>
      <c r="C25" s="6">
        <v>1500.0</v>
      </c>
      <c r="D25" s="6">
        <f t="shared" si="7"/>
        <v>0</v>
      </c>
    </row>
    <row r="26" ht="15.75" customHeight="1">
      <c r="A26" s="10" t="s">
        <v>26</v>
      </c>
      <c r="B26" s="6">
        <f t="shared" ref="B26:C26" si="8">SUM(B23:B25)</f>
        <v>2800</v>
      </c>
      <c r="C26" s="6">
        <f t="shared" si="8"/>
        <v>1500</v>
      </c>
      <c r="D26" s="6">
        <f t="shared" si="7"/>
        <v>-1300</v>
      </c>
    </row>
    <row r="27" ht="15.75" customHeight="1">
      <c r="A27" s="9" t="s">
        <v>27</v>
      </c>
      <c r="B27" s="5"/>
      <c r="C27" s="5"/>
      <c r="D27" s="5"/>
    </row>
    <row r="28" ht="15.75" customHeight="1">
      <c r="A28" s="5" t="s">
        <v>28</v>
      </c>
      <c r="B28" s="6">
        <v>13000.0</v>
      </c>
      <c r="C28" s="6">
        <v>8000.0</v>
      </c>
      <c r="D28" s="6">
        <f t="shared" ref="D28:D30" si="9">C28-B28</f>
        <v>-5000</v>
      </c>
    </row>
    <row r="29" ht="15.75" customHeight="1">
      <c r="A29" s="5" t="s">
        <v>29</v>
      </c>
      <c r="B29" s="6">
        <v>650.0</v>
      </c>
      <c r="C29" s="6">
        <v>650.0</v>
      </c>
      <c r="D29" s="6">
        <f t="shared" si="9"/>
        <v>0</v>
      </c>
    </row>
    <row r="30" ht="15.75" customHeight="1">
      <c r="A30" s="10" t="s">
        <v>30</v>
      </c>
      <c r="B30" s="6">
        <f t="shared" ref="B30:C30" si="10">SUM(B28:B29)</f>
        <v>13650</v>
      </c>
      <c r="C30" s="6">
        <f t="shared" si="10"/>
        <v>8650</v>
      </c>
      <c r="D30" s="6">
        <f t="shared" si="9"/>
        <v>-5000</v>
      </c>
    </row>
    <row r="31" ht="15.75" customHeight="1">
      <c r="A31" s="9" t="s">
        <v>31</v>
      </c>
      <c r="B31" s="5"/>
      <c r="C31" s="5"/>
      <c r="D31" s="5"/>
    </row>
    <row r="32" ht="15.75" customHeight="1">
      <c r="A32" s="5" t="s">
        <v>32</v>
      </c>
      <c r="B32" s="6">
        <v>3700.0</v>
      </c>
      <c r="C32" s="6">
        <v>4500.0</v>
      </c>
      <c r="D32" s="6">
        <f t="shared" ref="D32:D33" si="12">C32-B32</f>
        <v>800</v>
      </c>
    </row>
    <row r="33" ht="15.75" customHeight="1">
      <c r="A33" s="10" t="s">
        <v>33</v>
      </c>
      <c r="B33" s="6">
        <f t="shared" ref="B33:C33" si="11">SUM(B32)</f>
        <v>3700</v>
      </c>
      <c r="C33" s="6">
        <f t="shared" si="11"/>
        <v>4500</v>
      </c>
      <c r="D33" s="6">
        <f t="shared" si="12"/>
        <v>800</v>
      </c>
    </row>
    <row r="34" ht="15.75" customHeight="1">
      <c r="A34" s="9" t="s">
        <v>34</v>
      </c>
      <c r="B34" s="5"/>
      <c r="C34" s="5"/>
      <c r="D34" s="5"/>
    </row>
    <row r="35" ht="15.75" customHeight="1">
      <c r="A35" s="5" t="s">
        <v>35</v>
      </c>
      <c r="B35" s="6">
        <v>5000.0</v>
      </c>
      <c r="C35" s="6">
        <v>6500.0</v>
      </c>
      <c r="D35" s="6">
        <f t="shared" ref="D35:D39" si="13">C35-B35</f>
        <v>1500</v>
      </c>
    </row>
    <row r="36" ht="15.75" customHeight="1">
      <c r="A36" s="5" t="s">
        <v>36</v>
      </c>
      <c r="B36" s="6">
        <v>19000.0</v>
      </c>
      <c r="C36" s="6">
        <v>23000.0</v>
      </c>
      <c r="D36" s="6">
        <f t="shared" si="13"/>
        <v>4000</v>
      </c>
    </row>
    <row r="37" ht="15.75" customHeight="1">
      <c r="A37" s="5" t="s">
        <v>37</v>
      </c>
      <c r="B37" s="6">
        <v>2700.0</v>
      </c>
      <c r="C37" s="6">
        <v>3200.0</v>
      </c>
      <c r="D37" s="6">
        <f t="shared" si="13"/>
        <v>500</v>
      </c>
    </row>
    <row r="38" ht="15.75" customHeight="1">
      <c r="A38" s="5" t="s">
        <v>38</v>
      </c>
      <c r="B38" s="6">
        <v>1600.0</v>
      </c>
      <c r="C38" s="6">
        <v>1750.0</v>
      </c>
      <c r="D38" s="6">
        <f t="shared" si="13"/>
        <v>150</v>
      </c>
    </row>
    <row r="39" ht="15.75" customHeight="1">
      <c r="A39" s="10" t="s">
        <v>39</v>
      </c>
      <c r="B39" s="6">
        <f t="shared" ref="B39:C39" si="14">SUM(B35:B38)</f>
        <v>28300</v>
      </c>
      <c r="C39" s="6">
        <f t="shared" si="14"/>
        <v>34450</v>
      </c>
      <c r="D39" s="6">
        <f t="shared" si="13"/>
        <v>6150</v>
      </c>
    </row>
    <row r="40" ht="15.75" customHeight="1">
      <c r="A40" s="9" t="s">
        <v>40</v>
      </c>
      <c r="B40" s="5"/>
      <c r="C40" s="5"/>
      <c r="D40" s="5"/>
    </row>
    <row r="41" ht="15.75" customHeight="1">
      <c r="A41" s="5" t="s">
        <v>41</v>
      </c>
      <c r="B41" s="6">
        <v>43000.0</v>
      </c>
      <c r="C41" s="6">
        <v>40000.0</v>
      </c>
      <c r="D41" s="6">
        <f t="shared" ref="D41:D45" si="15">C41-B41</f>
        <v>-3000</v>
      </c>
    </row>
    <row r="42" ht="15.75" customHeight="1">
      <c r="A42" s="5" t="s">
        <v>42</v>
      </c>
      <c r="B42" s="6">
        <v>300.0</v>
      </c>
      <c r="C42" s="6">
        <v>500.0</v>
      </c>
      <c r="D42" s="6">
        <f t="shared" si="15"/>
        <v>200</v>
      </c>
    </row>
    <row r="43" ht="15.75" customHeight="1">
      <c r="A43" s="5" t="s">
        <v>43</v>
      </c>
      <c r="B43" s="6">
        <v>6500.0</v>
      </c>
      <c r="C43" s="6">
        <v>7500.0</v>
      </c>
      <c r="D43" s="6">
        <f t="shared" si="15"/>
        <v>1000</v>
      </c>
    </row>
    <row r="44" ht="15.75" customHeight="1">
      <c r="A44" s="5" t="s">
        <v>44</v>
      </c>
      <c r="B44" s="6">
        <v>110.0</v>
      </c>
      <c r="C44" s="6">
        <v>250.0</v>
      </c>
      <c r="D44" s="6">
        <f t="shared" si="15"/>
        <v>140</v>
      </c>
    </row>
    <row r="45" ht="15.75" customHeight="1">
      <c r="A45" s="10" t="s">
        <v>45</v>
      </c>
      <c r="B45" s="6">
        <f t="shared" ref="B45:C45" si="16">SUM(B41:B44)</f>
        <v>49910</v>
      </c>
      <c r="C45" s="6">
        <f t="shared" si="16"/>
        <v>48250</v>
      </c>
      <c r="D45" s="6">
        <f t="shared" si="15"/>
        <v>-1660</v>
      </c>
    </row>
    <row r="46" ht="15.75" customHeight="1">
      <c r="A46" s="9" t="s">
        <v>46</v>
      </c>
      <c r="B46" s="5"/>
      <c r="C46" s="5"/>
      <c r="D46" s="5"/>
    </row>
    <row r="47" ht="15.75" customHeight="1">
      <c r="A47" s="5" t="s">
        <v>47</v>
      </c>
      <c r="B47" s="6">
        <v>14000.0</v>
      </c>
      <c r="C47" s="6">
        <v>15000.0</v>
      </c>
      <c r="D47" s="6">
        <f t="shared" ref="D47:D48" si="18">C47-B47</f>
        <v>1000</v>
      </c>
    </row>
    <row r="48" ht="15.75" customHeight="1">
      <c r="A48" s="10" t="s">
        <v>48</v>
      </c>
      <c r="B48" s="6">
        <f t="shared" ref="B48:C48" si="17">SUM(B47)</f>
        <v>14000</v>
      </c>
      <c r="C48" s="6">
        <f t="shared" si="17"/>
        <v>15000</v>
      </c>
      <c r="D48" s="6">
        <f t="shared" si="18"/>
        <v>1000</v>
      </c>
    </row>
    <row r="49" ht="15.75" customHeight="1">
      <c r="A49" s="9" t="s">
        <v>49</v>
      </c>
      <c r="B49" s="5"/>
      <c r="C49" s="5"/>
      <c r="D49" s="5"/>
    </row>
    <row r="50" ht="15.75" customHeight="1">
      <c r="A50" s="5" t="s">
        <v>50</v>
      </c>
      <c r="B50" s="6">
        <v>0.0</v>
      </c>
      <c r="C50" s="6">
        <v>0.0</v>
      </c>
      <c r="D50" s="6">
        <f t="shared" ref="D50:D53" si="19">C50-B50</f>
        <v>0</v>
      </c>
    </row>
    <row r="51" ht="15.75" customHeight="1">
      <c r="A51" s="5" t="s">
        <v>51</v>
      </c>
      <c r="B51" s="6">
        <v>0.0</v>
      </c>
      <c r="C51" s="6">
        <v>360.0</v>
      </c>
      <c r="D51" s="6">
        <f t="shared" si="19"/>
        <v>360</v>
      </c>
    </row>
    <row r="52" ht="15.75" customHeight="1">
      <c r="A52" s="5" t="s">
        <v>52</v>
      </c>
      <c r="B52" s="6">
        <v>3300.0</v>
      </c>
      <c r="C52" s="6">
        <v>3700.0</v>
      </c>
      <c r="D52" s="6">
        <f t="shared" si="19"/>
        <v>400</v>
      </c>
    </row>
    <row r="53" ht="15.75" customHeight="1">
      <c r="A53" s="10" t="s">
        <v>53</v>
      </c>
      <c r="B53" s="6">
        <f t="shared" ref="B53:C53" si="20">SUM(B50:B52)</f>
        <v>3300</v>
      </c>
      <c r="C53" s="6">
        <f t="shared" si="20"/>
        <v>4060</v>
      </c>
      <c r="D53" s="6">
        <f t="shared" si="19"/>
        <v>760</v>
      </c>
    </row>
    <row r="54" ht="15.75" customHeight="1"/>
    <row r="55" ht="15.75" customHeight="1">
      <c r="A55" s="3" t="s">
        <v>54</v>
      </c>
      <c r="B55" s="11">
        <f t="shared" ref="B55:C55" si="21">B17+B21+B26+B30+B33+B39+B45+B48+B53</f>
        <v>1015660</v>
      </c>
      <c r="C55" s="11">
        <f t="shared" si="21"/>
        <v>968010</v>
      </c>
      <c r="D55" s="11">
        <f>C55-B55</f>
        <v>-47650</v>
      </c>
    </row>
    <row r="56" ht="15.75" customHeight="1"/>
    <row r="57" ht="15.75" customHeight="1">
      <c r="A57" s="7" t="s">
        <v>55</v>
      </c>
      <c r="B57" s="8">
        <f t="shared" ref="B57:C57" si="22">B12-B55</f>
        <v>-424136</v>
      </c>
      <c r="C57" s="8">
        <f t="shared" si="22"/>
        <v>-534810</v>
      </c>
      <c r="D57" s="8">
        <f>C57-B57</f>
        <v>-110674</v>
      </c>
    </row>
    <row r="58" ht="15.75" customHeight="1"/>
    <row r="59" ht="15.75" customHeight="1"/>
    <row r="60" ht="15.75" customHeight="1">
      <c r="A60" s="12" t="s">
        <v>56</v>
      </c>
    </row>
    <row r="61" ht="15.75" customHeight="1">
      <c r="A61" s="13" t="s">
        <v>57</v>
      </c>
    </row>
    <row r="62" ht="15.75" customHeight="1">
      <c r="A62" s="13" t="s">
        <v>58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2025-11-25T01:29:46Z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