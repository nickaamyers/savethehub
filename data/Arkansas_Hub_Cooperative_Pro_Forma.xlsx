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 Forma" sheetId="1" r:id="rId4"/>
    <sheet state="visible" name="Revenue Projection" sheetId="2" r:id="rId5"/>
    <sheet state="visible" name="Staffing" sheetId="3" r:id="rId6"/>
  </sheets>
  <definedNames>
    <definedName name="MY_FUNCTION1">LAMBDA(cl, sum(('Revenue Projection'!$D$3*'Revenue Projection'!$CL$3)+('Revenue Projection'!$D$4*'Revenue Projection'!$CL$4)+('Revenue Projection'!$D$5*'Revenue Projection'!$CL$5)+('Revenue Projection'!$D$6*'Revenue Projection'!$CL$6)+('Revenue Projection'!$D$7*'Revenue Projection'!$CL$7)))</definedName>
  </definedNames>
  <calcPr/>
  <extLst>
    <ext uri="GoogleSheetsCustomDataVersion2">
      <go:sheetsCustomData xmlns:go="http://customooxmlschemas.google.com/" r:id="rId7" roundtripDataChecksum="7YwcWlwOeEuhuXtf6d4gc0dnC5f7V/n2k7Ei0r5GFcw="/>
    </ext>
  </extLst>
</workbook>
</file>

<file path=xl/sharedStrings.xml><?xml version="1.0" encoding="utf-8"?>
<sst xmlns="http://schemas.openxmlformats.org/spreadsheetml/2006/main" count="422" uniqueCount="227">
  <si>
    <t>ARKANSAS INNOVATION HUB COOPERATIVE</t>
  </si>
  <si>
    <t>FINANCIAL PRO FORMA -  1</t>
  </si>
  <si>
    <t>Prepared: December 30, 2025</t>
  </si>
  <si>
    <t>Line Item</t>
  </si>
  <si>
    <t xml:space="preserve">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</si>
  <si>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</si>
  <si>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</si>
  <si>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</si>
  <si>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</si>
  <si>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</si>
  <si>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</si>
  <si>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</si>
  <si>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</si>
  <si>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</si>
  <si>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</si>
  <si>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</si>
  <si>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</si>
  <si>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</si>
  <si>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Total Membership Revenue</t>
  </si>
  <si>
    <t>Total Education/Fabrication Revenue</t>
  </si>
  <si>
    <t>TOTAL EARNED INCOME</t>
  </si>
  <si>
    <t>Grant Revenue (Separate Programs)</t>
  </si>
  <si>
    <t>Skills to Launch Grant</t>
  </si>
  <si>
    <t>Best Buy Teen Tech Center</t>
  </si>
  <si>
    <t>Microsoft TechSpark</t>
  </si>
  <si>
    <t>Grant Overhead Contribution (10%)</t>
  </si>
  <si>
    <t>Support (Foundation/Corporate/Fundraiser)</t>
  </si>
  <si>
    <t>TOTAL REVENUE</t>
  </si>
  <si>
    <t>EXPENSES</t>
  </si>
  <si>
    <t>Core Personnel (Non-Grant)</t>
  </si>
  <si>
    <t>Executive Director (Level 4)</t>
  </si>
  <si>
    <t>Maker Educators (4 @ Level 2)</t>
  </si>
  <si>
    <t>Member Services &amp; Outreach (Level 2)</t>
  </si>
  <si>
    <t>Total Core Personnel</t>
  </si>
  <si>
    <t>Grant-Funded Personnel &amp; Expenses</t>
  </si>
  <si>
    <t>Skills to Launch</t>
  </si>
  <si>
    <t>Best Buy Teen Tech Staff</t>
  </si>
  <si>
    <t>Microsoft TechSpark Coordinator</t>
  </si>
  <si>
    <t>Total Grant Personnel</t>
  </si>
  <si>
    <t>Facilities &amp; Operations</t>
  </si>
  <si>
    <t>Utilities (Electric, Gas, Water)</t>
  </si>
  <si>
    <t>Internet &amp; Phone</t>
  </si>
  <si>
    <t>Insurance (Property, Liability, Equipment)</t>
  </si>
  <si>
    <t>Maintenance &amp; Repairs</t>
  </si>
  <si>
    <t>Supplies &amp; Materials</t>
  </si>
  <si>
    <t>Equipment Maintenance &amp; Upgrades</t>
  </si>
  <si>
    <t>Total Facilities &amp; Operations</t>
  </si>
  <si>
    <t>Debt Service (Property &amp; Equipment Loan)</t>
  </si>
  <si>
    <t>CDFI Loan Payment</t>
  </si>
  <si>
    <t>Program &amp; Marketing</t>
  </si>
  <si>
    <t>Marketing &amp; Outreach</t>
  </si>
  <si>
    <t>Total Program &amp; Marketing</t>
  </si>
  <si>
    <t>Administrative &amp; Professional</t>
  </si>
  <si>
    <t>Accounting &amp; Bookkeeping</t>
  </si>
  <si>
    <t>Legal &amp; Compliance</t>
  </si>
  <si>
    <t>Software &amp; Technology</t>
  </si>
  <si>
    <t>Office Supplies &amp; Misc</t>
  </si>
  <si>
    <t>Total Administrative</t>
  </si>
  <si>
    <t>TOTAL EXPENSES</t>
  </si>
  <si>
    <t>NET INCOME / (LOSS)</t>
  </si>
  <si>
    <t>CASH FLOW</t>
  </si>
  <si>
    <t>END OF YEAR</t>
  </si>
  <si>
    <t>Beginning Balance</t>
  </si>
  <si>
    <t>Ending Balance</t>
  </si>
  <si>
    <t>REVENUE STREAM CALCULATOR</t>
  </si>
  <si>
    <t>Membership Tier</t>
  </si>
  <si>
    <t>Monthly Fee</t>
  </si>
  <si>
    <t>Voting Members</t>
  </si>
  <si>
    <t>Supporting Members</t>
  </si>
  <si>
    <t>Family Members</t>
  </si>
  <si>
    <t>Student Members</t>
  </si>
  <si>
    <t>Corporate Members</t>
  </si>
  <si>
    <t>Total Member</t>
  </si>
  <si>
    <t>ADULT CLASSES</t>
  </si>
  <si>
    <t>INPUT PARAMETERS</t>
  </si>
  <si>
    <t>Notes</t>
  </si>
  <si>
    <t>Total classes</t>
  </si>
  <si>
    <t>Weekend + weeknight + intensives combined</t>
  </si>
  <si>
    <t>Average students per class</t>
  </si>
  <si>
    <t>Weighted average across all class types</t>
  </si>
  <si>
    <t>Average price per student</t>
  </si>
  <si>
    <t>Typical tuition per student per class</t>
  </si>
  <si>
    <t>Average class duration (hours)</t>
  </si>
  <si>
    <t>Instructional time per class</t>
  </si>
  <si>
    <t>Average prep time per class (hours)</t>
  </si>
  <si>
    <t>Setup, planning, cleanup per class</t>
  </si>
  <si>
    <t>Materials % of revenue</t>
  </si>
  <si>
    <t>Supplies and consumables</t>
  </si>
  <si>
    <t>Instructor share % of revenue</t>
  </si>
  <si>
    <t>Revenue share paid to instructors</t>
  </si>
  <si>
    <t>CALCULATED RESULTS</t>
  </si>
  <si>
    <t>Total Students Served</t>
  </si>
  <si>
    <t>Gross Revenue</t>
  </si>
  <si>
    <t>Less: Materials Cost</t>
  </si>
  <si>
    <t>Less: Instructor Share</t>
  </si>
  <si>
    <t>NET TO HUB</t>
  </si>
  <si>
    <t>FTE ANALYSIS</t>
  </si>
  <si>
    <t>Total hours per class</t>
  </si>
  <si>
    <t xml:space="preserve"> hours required</t>
  </si>
  <si>
    <t>FTE REQUIRED (160 hrs/mo)</t>
  </si>
  <si>
    <t>REVENUE PER FTE</t>
  </si>
  <si>
    <t>YOUTH/FAMILY PROGRAMS</t>
  </si>
  <si>
    <t xml:space="preserve">Total programs per </t>
  </si>
  <si>
    <t>Workshops + camps + parent-child combined</t>
  </si>
  <si>
    <t>Average participants per program</t>
  </si>
  <si>
    <t>Weighted average across all program types</t>
  </si>
  <si>
    <t>Average price per participant</t>
  </si>
  <si>
    <t>Typical tuition per participant</t>
  </si>
  <si>
    <t>Average program duration (hours)</t>
  </si>
  <si>
    <t>Weighted avg: workshops 2.5h, camps 20h</t>
  </si>
  <si>
    <t>Average prep time (hours)</t>
  </si>
  <si>
    <t>Setup, planning, cleanup</t>
  </si>
  <si>
    <t>Revenue share to instructors</t>
  </si>
  <si>
    <t xml:space="preserve">Total Participants Served </t>
  </si>
  <si>
    <t>Total hours per program</t>
  </si>
  <si>
    <t>SCHOOL FIELD TRIPS</t>
  </si>
  <si>
    <t xml:space="preserve">Field trips per </t>
  </si>
  <si>
    <t>September through June (school )</t>
  </si>
  <si>
    <t>Average students per trip</t>
  </si>
  <si>
    <t>Typical class size for schools</t>
  </si>
  <si>
    <t>Price per student</t>
  </si>
  <si>
    <t>Charged to school/district</t>
  </si>
  <si>
    <t>Duration per trip (hours)</t>
  </si>
  <si>
    <t>Hands-on activity time</t>
  </si>
  <si>
    <t>Prep/cleanup per trip (hours)</t>
  </si>
  <si>
    <t>Setup before &amp; after</t>
  </si>
  <si>
    <t>Covered in base supplies budget</t>
  </si>
  <si>
    <t>Maker Educators (salaried staff)</t>
  </si>
  <si>
    <t xml:space="preserve">Total Students Served </t>
  </si>
  <si>
    <t>Total hours per trip</t>
  </si>
  <si>
    <t>ARKANSAS LEARNS / EFA PROGRAMMING</t>
  </si>
  <si>
    <t>Semester courses (8) + workshops (24) + memberships (12 mo)</t>
  </si>
  <si>
    <t>Average students per program</t>
  </si>
  <si>
    <t>Weighted: courses 10, workshops 8, families 15</t>
  </si>
  <si>
    <t>Weighted: courses $400, workshops $60, membership $50/mo</t>
  </si>
  <si>
    <t>Average hours per program</t>
  </si>
  <si>
    <t>Weighted: courses 42h, workshops 4h, membership 4.5h</t>
  </si>
  <si>
    <t>Consumables and supplies</t>
  </si>
  <si>
    <t>Weighted: 30% on courses only, 0% workshops/membership</t>
  </si>
  <si>
    <t>FABRICATION SERVICES</t>
  </si>
  <si>
    <t xml:space="preserve">Projects per </t>
  </si>
  <si>
    <t>Custom fabrication, prototypes, production runs</t>
  </si>
  <si>
    <t>Average project value</t>
  </si>
  <si>
    <t>Typical project invoice amount</t>
  </si>
  <si>
    <t>Average hours per project</t>
  </si>
  <si>
    <t>Consultation + setup + run time</t>
  </si>
  <si>
    <t>Wood, acrylic, filament, hardware, etc.</t>
  </si>
  <si>
    <t>Tech/Instructor share % of revenue</t>
  </si>
  <si>
    <t>Less: Tech/Instructor Share</t>
  </si>
  <si>
    <t>EVENT RENTAL</t>
  </si>
  <si>
    <t>Rentals Per</t>
  </si>
  <si>
    <t>Event rentals</t>
  </si>
  <si>
    <t>Average rental value</t>
  </si>
  <si>
    <t>Typical invoice amount</t>
  </si>
  <si>
    <t xml:space="preserve">Average hours per </t>
  </si>
  <si>
    <t>setup + run time</t>
  </si>
  <si>
    <t>SUMMARY - ALL REVENUE STREAMS</t>
  </si>
  <si>
    <t>Revenue Stream</t>
  </si>
  <si>
    <t>Adult Classes</t>
  </si>
  <si>
    <t>Youth/Family Programs</t>
  </si>
  <si>
    <t>School Field Trips</t>
  </si>
  <si>
    <t>Arkansas LEARNS/EFA</t>
  </si>
  <si>
    <t>Fabrication Services</t>
  </si>
  <si>
    <t>Event Rentals</t>
  </si>
  <si>
    <t>TOTAL ALL PROGRAMS</t>
  </si>
  <si>
    <t>KEY STAFFING METRICS</t>
  </si>
  <si>
    <t>Total FTE Required</t>
  </si>
  <si>
    <t>Actual Hours</t>
  </si>
  <si>
    <t>Part-time</t>
  </si>
  <si>
    <t>Level 1</t>
  </si>
  <si>
    <t>Level 2</t>
  </si>
  <si>
    <t>Level 3</t>
  </si>
  <si>
    <t>Level 4</t>
  </si>
  <si>
    <t>Paid Vacation (2 weeks)</t>
  </si>
  <si>
    <t>Salary</t>
  </si>
  <si>
    <t>Paid Sick Leave (8 days)</t>
  </si>
  <si>
    <t>Insurance</t>
  </si>
  <si>
    <t>Paid Company Holidays (8 Federal US Holidays/Year)</t>
  </si>
  <si>
    <t>Withholding/Taxes</t>
  </si>
  <si>
    <t>Total Non-Productive Hours (15 min per workday)</t>
  </si>
  <si>
    <t>Benefits</t>
  </si>
  <si>
    <t>Total  Leave Hours:</t>
  </si>
  <si>
    <t>401k</t>
  </si>
  <si>
    <t>Total  Paid Hours (8 hrs/Day, 5  days/week, 52 weeks/ year):</t>
  </si>
  <si>
    <t>Office Expenses</t>
  </si>
  <si>
    <t>Total Actual Work Hours (2080 – 251)</t>
  </si>
  <si>
    <t>Total</t>
  </si>
  <si>
    <t>Monthly Cost</t>
  </si>
  <si>
    <t>Weekly Cost</t>
  </si>
  <si>
    <t>Workers Compensation Insurances (Rates vary widely on this)</t>
  </si>
  <si>
    <t>Hourly Cost</t>
  </si>
  <si>
    <t>Liability Insurance (Often Billed as a % of Labor)</t>
  </si>
  <si>
    <t>60% markup billable hour rate</t>
  </si>
  <si>
    <t>Break Even Hours Monthly</t>
  </si>
  <si>
    <t>Break Even Hours Weekly</t>
  </si>
  <si>
    <t>FICA (Medicate / Social Security)</t>
  </si>
  <si>
    <t>Experiance Level</t>
  </si>
  <si>
    <t>&lt;1</t>
  </si>
  <si>
    <t>6+</t>
  </si>
  <si>
    <t>FUTA (Federal Unemployment Tax Act)</t>
  </si>
  <si>
    <t xml:space="preserve">State Unemployment </t>
  </si>
  <si>
    <t>401K (Company Contribution Portion)</t>
  </si>
  <si>
    <t>Training</t>
  </si>
  <si>
    <t>Health/Medical Insurance</t>
  </si>
  <si>
    <t>Meals &amp; Travel Reimbursement</t>
  </si>
  <si>
    <t>Christmas Bonus</t>
  </si>
  <si>
    <t xml:space="preserve"> </t>
  </si>
  <si>
    <t>Equipment 100 monthly BYOD</t>
  </si>
  <si>
    <t>Office Space (including internet &amp; utilities)</t>
  </si>
  <si>
    <t>Parking</t>
  </si>
  <si>
    <t>G-Suite</t>
  </si>
  <si>
    <t>Zoom</t>
  </si>
  <si>
    <t>AntiVirus</t>
  </si>
  <si>
    <t>Payroll/Benefits Software Fee</t>
  </si>
  <si>
    <t>Security Clearance ?</t>
  </si>
  <si>
    <t>Background Check</t>
  </si>
  <si>
    <t>Tools</t>
  </si>
  <si>
    <t>Payroll</t>
  </si>
  <si>
    <t>$39 base fee + $12 per person a month</t>
  </si>
  <si>
    <t>Communications &amp; Security</t>
  </si>
  <si>
    <t>Gsuites</t>
  </si>
  <si>
    <t>$12 per person a month</t>
  </si>
  <si>
    <t>Accounting</t>
  </si>
  <si>
    <t>Quickbooks</t>
  </si>
  <si>
    <t>$90 a month</t>
  </si>
  <si>
    <t>Total Office Software</t>
  </si>
  <si>
    <t>Monthly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</si>
</sst>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$#,##0"/>
    <numFmt numFmtId="165" formatCode="&quot;$&quot;#,##0"/>
    <numFmt numFmtId="166" formatCode="0.0"/>
    <numFmt numFmtId="167" formatCode="0.0%"/>
    <numFmt numFmtId="168" formatCode="\$#,##0"/>
    <numFmt numFmtId="169" formatCode="M\-D"/>
  </numFmts>
  <fonts count="33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sz val="12.0"/>
      <color rgb="FFFFFFFF"/>
      <name val="Calibri"/>
      <scheme val="minor"/>
    </font>
    <font>
      <b/>
      <sz val="11.0"/>
      <color theme="1"/>
      <name val="Calibri"/>
      <scheme val="minor"/>
    </font>
    <font>
      <sz val="11.0"/>
      <color theme="1"/>
      <name val="Calibri"/>
    </font>
    <font>
      <color rgb="FF000000"/>
      <name val="Calibri"/>
      <scheme val="minor"/>
    </font>
    <font>
      <color rgb="FF0000FF"/>
      <name val="Calibri"/>
      <scheme val="minor"/>
    </font>
    <font>
      <i/>
      <color theme="1"/>
      <name val="Calibri"/>
      <scheme val="minor"/>
    </font>
    <font>
      <b/>
      <i/>
      <color theme="1"/>
      <name val="Calibri"/>
      <scheme val="minor"/>
    </font>
    <font>
      <b/>
      <i/>
      <color rgb="FF000000"/>
      <name val="Calibri"/>
      <scheme val="minor"/>
    </font>
    <font>
      <b/>
      <i/>
      <color rgb="FF0000FF"/>
      <name val="Calibri"/>
      <scheme val="minor"/>
    </font>
    <font>
      <b/>
      <sz val="11.0"/>
      <color rgb="FFFFFFFF"/>
      <name val="Calibri"/>
      <scheme val="minor"/>
    </font>
    <font>
      <b/>
      <color rgb="FFFFFFFF"/>
      <name val="Calibri"/>
      <scheme val="minor"/>
    </font>
    <font>
      <color rgb="FFFFFFFF"/>
      <name val="Calibri"/>
      <scheme val="minor"/>
    </font>
    <font>
      <sz val="11.0"/>
      <color rgb="FF000000"/>
      <name val="Calibri"/>
      <scheme val="minor"/>
    </font>
    <font>
      <b/>
      <sz val="11.0"/>
      <color rgb="FF000000"/>
      <name val="Calibri"/>
      <scheme val="minor"/>
    </font>
    <font>
      <b/>
      <sz val="14.0"/>
      <color theme="1"/>
      <name val="Calibri"/>
    </font>
    <font>
      <b/>
      <sz val="12.0"/>
      <color rgb="FFFFFFFF"/>
      <name val="Calibri"/>
    </font>
    <font>
      <sz val="11.0"/>
      <color rgb="FF0000FF"/>
      <name val="Calibri"/>
    </font>
    <font>
      <b/>
      <sz val="11.0"/>
      <color theme="1"/>
      <name val="Calibri"/>
    </font>
    <font>
      <b/>
      <u/>
      <sz val="11.0"/>
      <color theme="1"/>
      <name val="Calibri"/>
    </font>
    <font>
      <b/>
      <sz val="11.0"/>
      <color rgb="FF006100"/>
      <name val="Calibri"/>
    </font>
    <font>
      <b/>
      <u/>
      <sz val="11.0"/>
      <color rgb="FFFFFFFF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sz val="12.0"/>
      <color rgb="FF3A3A3A"/>
      <name val="Calibri"/>
    </font>
    <font>
      <b/>
      <sz val="11.0"/>
      <color rgb="FF000000"/>
      <name val="Calibri"/>
    </font>
    <font>
      <b/>
      <sz val="12.0"/>
      <color rgb="FF3A3A3A"/>
      <name val="Calibri"/>
    </font>
    <font>
      <color theme="1"/>
      <name val="Calibri"/>
    </font>
    <font>
      <sz val="11.0"/>
      <color rgb="FFEA0029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548235"/>
        <bgColor rgb="FF548235"/>
      </patternFill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70AD47"/>
        <bgColor rgb="FF70AD47"/>
      </patternFill>
    </fill>
    <fill>
      <patternFill patternType="solid">
        <fgColor rgb="FF7030A0"/>
        <bgColor rgb="FF7030A0"/>
      </patternFill>
    </fill>
    <fill>
      <patternFill patternType="solid">
        <fgColor rgb="FFE69138"/>
        <bgColor rgb="FFE69138"/>
      </patternFill>
    </fill>
    <fill>
      <patternFill patternType="solid">
        <fgColor rgb="FF44546A"/>
        <bgColor rgb="FF44546A"/>
      </patternFill>
    </fill>
    <fill>
      <patternFill patternType="solid">
        <fgColor rgb="FFF4CCCC"/>
        <bgColor rgb="FFF4CCCC"/>
      </patternFill>
    </fill>
  </fills>
  <borders count="9">
    <border/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1" fillId="2" fontId="5" numFmtId="0" xfId="0" applyBorder="1" applyFill="1" applyFont="1"/>
    <xf borderId="1" fillId="2" fontId="5" numFmtId="0" xfId="0" applyAlignment="1" applyBorder="1" applyFont="1">
      <alignment readingOrder="0"/>
    </xf>
    <xf borderId="1" fillId="2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" fillId="3" fontId="6" numFmtId="0" xfId="0" applyBorder="1" applyFill="1" applyFont="1"/>
    <xf borderId="0" fillId="3" fontId="7" numFmtId="164" xfId="0" applyFont="1" applyNumberFormat="1"/>
    <xf borderId="0" fillId="0" fontId="7" numFmtId="164" xfId="0" applyFont="1" applyNumberFormat="1"/>
    <xf borderId="0" fillId="0" fontId="8" numFmtId="164" xfId="0" applyFont="1" applyNumberFormat="1"/>
    <xf borderId="1" fillId="4" fontId="4" numFmtId="0" xfId="0" applyBorder="1" applyFill="1" applyFont="1"/>
    <xf borderId="1" fillId="4" fontId="4" numFmtId="164" xfId="0" applyBorder="1" applyFont="1" applyNumberFormat="1"/>
    <xf borderId="0" fillId="0" fontId="4" numFmtId="164" xfId="0" applyFont="1" applyNumberFormat="1"/>
    <xf borderId="1" fillId="4" fontId="4" numFmtId="0" xfId="0" applyAlignment="1" applyBorder="1" applyFont="1">
      <alignment readingOrder="0"/>
    </xf>
    <xf borderId="1" fillId="5" fontId="6" numFmtId="0" xfId="0" applyBorder="1" applyFill="1" applyFont="1"/>
    <xf borderId="1" fillId="5" fontId="4" numFmtId="164" xfId="0" applyBorder="1" applyFont="1" applyNumberFormat="1"/>
    <xf borderId="0" fillId="0" fontId="9" numFmtId="164" xfId="0" applyFont="1" applyNumberFormat="1"/>
    <xf borderId="0" fillId="0" fontId="10" numFmtId="0" xfId="0" applyFont="1"/>
    <xf borderId="0" fillId="0" fontId="11" numFmtId="0" xfId="0" applyAlignment="1" applyFont="1">
      <alignment readingOrder="0"/>
    </xf>
    <xf borderId="0" fillId="0" fontId="12" numFmtId="164" xfId="0" applyFont="1" applyNumberFormat="1"/>
    <xf borderId="0" fillId="0" fontId="13" numFmtId="164" xfId="0" applyFont="1" applyNumberFormat="1"/>
    <xf borderId="1" fillId="2" fontId="14" numFmtId="164" xfId="0" applyBorder="1" applyFont="1" applyNumberFormat="1"/>
    <xf borderId="1" fillId="2" fontId="15" numFmtId="164" xfId="0" applyBorder="1" applyFont="1" applyNumberFormat="1"/>
    <xf borderId="0" fillId="0" fontId="15" numFmtId="164" xfId="0" applyFont="1" applyNumberFormat="1"/>
    <xf borderId="0" fillId="0" fontId="3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1" fillId="6" fontId="5" numFmtId="0" xfId="0" applyBorder="1" applyFill="1" applyFont="1"/>
    <xf borderId="1" fillId="6" fontId="14" numFmtId="164" xfId="0" applyBorder="1" applyFont="1" applyNumberFormat="1"/>
    <xf borderId="0" fillId="0" fontId="14" numFmtId="164" xfId="0" applyFont="1" applyNumberFormat="1"/>
    <xf borderId="1" fillId="0" fontId="5" numFmtId="0" xfId="0" applyBorder="1" applyFont="1"/>
    <xf borderId="1" fillId="0" fontId="14" numFmtId="164" xfId="0" applyBorder="1" applyFont="1" applyNumberFormat="1"/>
    <xf borderId="1" fillId="7" fontId="5" numFmtId="0" xfId="0" applyBorder="1" applyFill="1" applyFont="1"/>
    <xf borderId="1" fillId="7" fontId="14" numFmtId="164" xfId="0" applyBorder="1" applyFont="1" applyNumberFormat="1"/>
    <xf borderId="2" fillId="8" fontId="14" numFmtId="49" xfId="0" applyAlignment="1" applyBorder="1" applyFill="1" applyFont="1" applyNumberFormat="1">
      <alignment readingOrder="0" vertical="bottom"/>
    </xf>
    <xf borderId="2" fillId="8" fontId="14" numFmtId="165" xfId="0" applyAlignment="1" applyBorder="1" applyFont="1" applyNumberFormat="1">
      <alignment horizontal="center" readingOrder="0" vertical="bottom"/>
    </xf>
    <xf borderId="2" fillId="8" fontId="14" numFmtId="0" xfId="0" applyAlignment="1" applyBorder="1" applyFont="1">
      <alignment horizontal="center" vertical="bottom"/>
    </xf>
    <xf borderId="3" fillId="8" fontId="14" numFmtId="0" xfId="0" applyAlignment="1" applyBorder="1" applyFont="1">
      <alignment horizontal="center" vertical="bottom"/>
    </xf>
    <xf borderId="0" fillId="0" fontId="16" numFmtId="0" xfId="0" applyFont="1"/>
    <xf borderId="2" fillId="9" fontId="17" numFmtId="49" xfId="0" applyAlignment="1" applyBorder="1" applyFill="1" applyFont="1" applyNumberFormat="1">
      <alignment vertical="bottom"/>
    </xf>
    <xf borderId="2" fillId="9" fontId="0" numFmtId="165" xfId="0" applyAlignment="1" applyBorder="1" applyFont="1" applyNumberFormat="1">
      <alignment vertical="bottom"/>
    </xf>
    <xf borderId="2" fillId="9" fontId="17" numFmtId="165" xfId="0" applyAlignment="1" applyBorder="1" applyFont="1" applyNumberFormat="1">
      <alignment horizontal="right" readingOrder="0" vertical="bottom"/>
    </xf>
    <xf borderId="2" fillId="9" fontId="17" numFmtId="165" xfId="0" applyAlignment="1" applyBorder="1" applyFont="1" applyNumberFormat="1">
      <alignment horizontal="right" vertical="bottom"/>
    </xf>
    <xf borderId="3" fillId="9" fontId="17" numFmtId="165" xfId="0" applyAlignment="1" applyBorder="1" applyFont="1" applyNumberFormat="1">
      <alignment horizontal="right" vertical="bottom"/>
    </xf>
    <xf borderId="2" fillId="9" fontId="18" numFmtId="49" xfId="0" applyAlignment="1" applyBorder="1" applyFont="1" applyNumberFormat="1">
      <alignment vertical="bottom"/>
    </xf>
    <xf borderId="2" fillId="9" fontId="6" numFmtId="165" xfId="0" applyAlignment="1" applyBorder="1" applyFont="1" applyNumberFormat="1">
      <alignment vertical="bottom"/>
    </xf>
    <xf borderId="2" fillId="9" fontId="18" numFmtId="165" xfId="0" applyAlignment="1" applyBorder="1" applyFont="1" applyNumberFormat="1">
      <alignment horizontal="right" vertical="bottom"/>
    </xf>
    <xf borderId="0" fillId="0" fontId="4" numFmtId="0" xfId="0" applyFont="1"/>
    <xf borderId="0" fillId="9" fontId="18" numFmtId="49" xfId="0" applyAlignment="1" applyFont="1" applyNumberFormat="1">
      <alignment vertical="bottom"/>
    </xf>
    <xf borderId="0" fillId="9" fontId="6" numFmtId="165" xfId="0" applyAlignment="1" applyFont="1" applyNumberFormat="1">
      <alignment vertical="bottom"/>
    </xf>
    <xf borderId="0" fillId="9" fontId="18" numFmtId="165" xfId="0" applyAlignment="1" applyFont="1" applyNumberFormat="1">
      <alignment horizontal="right" vertical="bottom"/>
    </xf>
    <xf borderId="4" fillId="0" fontId="19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2" fontId="20" numFmtId="0" xfId="0" applyAlignment="1" applyBorder="1" applyFont="1">
      <alignment vertical="bottom"/>
    </xf>
    <xf borderId="1" fillId="2" fontId="20" numFmtId="0" xfId="0" applyAlignment="1" applyBorder="1" applyFont="1">
      <alignment horizontal="center" vertical="bottom"/>
    </xf>
    <xf borderId="0" fillId="0" fontId="7" numFmtId="164" xfId="0" applyAlignment="1" applyFont="1" applyNumberFormat="1">
      <alignment horizontal="right" vertical="bottom"/>
    </xf>
    <xf borderId="0" fillId="0" fontId="21" numFmtId="0" xfId="0" applyAlignment="1" applyFont="1">
      <alignment horizontal="right" vertical="bottom"/>
    </xf>
    <xf borderId="0" fillId="0" fontId="22" numFmtId="0" xfId="0" applyAlignment="1" applyFont="1">
      <alignment readingOrder="0" vertical="bottom"/>
    </xf>
    <xf borderId="0" fillId="0" fontId="22" numFmtId="0" xfId="0" applyAlignment="1" applyFont="1">
      <alignment vertical="bottom"/>
    </xf>
    <xf borderId="0" fillId="0" fontId="22" numFmtId="165" xfId="0" applyAlignment="1" applyFont="1" applyNumberFormat="1">
      <alignment vertical="bottom"/>
    </xf>
    <xf borderId="5" fillId="10" fontId="20" numFmtId="0" xfId="0" applyAlignment="1" applyBorder="1" applyFill="1" applyFont="1">
      <alignment readingOrder="0" vertical="bottom"/>
    </xf>
    <xf borderId="6" fillId="11" fontId="20" numFmtId="0" xfId="0" applyAlignment="1" applyBorder="1" applyFill="1" applyFont="1">
      <alignment vertical="bottom"/>
    </xf>
    <xf borderId="1" fillId="11" fontId="5" numFmtId="0" xfId="0" applyAlignment="1" applyBorder="1" applyFont="1">
      <alignment horizontal="center"/>
    </xf>
    <xf borderId="4" fillId="0" fontId="23" numFmtId="0" xfId="0" applyAlignment="1" applyBorder="1" applyFont="1">
      <alignment vertical="bottom"/>
    </xf>
    <xf borderId="4" fillId="0" fontId="22" numFmtId="0" xfId="0" applyAlignment="1" applyBorder="1" applyFont="1">
      <alignment vertical="bottom"/>
    </xf>
    <xf borderId="4" fillId="0" fontId="7" numFmtId="0" xfId="0" applyAlignment="1" applyBorder="1" applyFont="1">
      <alignment readingOrder="0" vertical="bottom"/>
    </xf>
    <xf borderId="4" fillId="0" fontId="7" numFmtId="0" xfId="0" applyAlignment="1" applyBorder="1" applyFont="1">
      <alignment vertical="bottom"/>
    </xf>
    <xf borderId="4" fillId="0" fontId="7" numFmtId="0" xfId="0" applyAlignment="1" applyBorder="1" applyFont="1">
      <alignment horizontal="right" readingOrder="0" vertical="bottom"/>
    </xf>
    <xf borderId="4" fillId="0" fontId="7" numFmtId="0" xfId="0" applyAlignment="1" applyBorder="1" applyFont="1">
      <alignment horizontal="right" vertical="bottom"/>
    </xf>
    <xf borderId="4" fillId="0" fontId="7" numFmtId="165" xfId="0" applyAlignment="1" applyBorder="1" applyFont="1" applyNumberFormat="1">
      <alignment horizontal="right" vertical="bottom"/>
    </xf>
    <xf borderId="4" fillId="0" fontId="7" numFmtId="9" xfId="0" applyAlignment="1" applyBorder="1" applyFont="1" applyNumberFormat="1">
      <alignment horizontal="right" readingOrder="0" vertical="bottom"/>
    </xf>
    <xf borderId="4" fillId="0" fontId="7" numFmtId="9" xfId="0" applyAlignment="1" applyBorder="1" applyFont="1" applyNumberFormat="1">
      <alignment horizontal="right" vertical="bottom"/>
    </xf>
    <xf borderId="4" fillId="0" fontId="22" numFmtId="3" xfId="0" applyAlignment="1" applyBorder="1" applyFont="1" applyNumberFormat="1">
      <alignment horizontal="right" vertical="bottom"/>
    </xf>
    <xf borderId="4" fillId="0" fontId="22" numFmtId="165" xfId="0" applyAlignment="1" applyBorder="1" applyFont="1" applyNumberFormat="1">
      <alignment horizontal="right" vertical="bottom"/>
    </xf>
    <xf borderId="4" fillId="0" fontId="24" numFmtId="165" xfId="0" applyAlignment="1" applyBorder="1" applyFont="1" applyNumberFormat="1">
      <alignment horizontal="right" vertical="bottom"/>
    </xf>
    <xf borderId="4" fillId="0" fontId="7" numFmtId="166" xfId="0" applyAlignment="1" applyBorder="1" applyFont="1" applyNumberFormat="1">
      <alignment horizontal="right" vertical="bottom"/>
    </xf>
    <xf borderId="4" fillId="0" fontId="22" numFmtId="2" xfId="0" applyAlignment="1" applyBorder="1" applyFont="1" applyNumberFormat="1">
      <alignment horizontal="right" vertical="bottom"/>
    </xf>
    <xf borderId="5" fillId="12" fontId="20" numFmtId="0" xfId="0" applyAlignment="1" applyBorder="1" applyFill="1" applyFont="1">
      <alignment readingOrder="0" vertical="bottom"/>
    </xf>
    <xf borderId="6" fillId="12" fontId="20" numFmtId="0" xfId="0" applyAlignment="1" applyBorder="1" applyFont="1">
      <alignment vertical="bottom"/>
    </xf>
    <xf borderId="7" fillId="12" fontId="20" numFmtId="0" xfId="0" applyAlignment="1" applyBorder="1" applyFont="1">
      <alignment vertical="bottom"/>
    </xf>
    <xf borderId="5" fillId="5" fontId="20" numFmtId="0" xfId="0" applyAlignment="1" applyBorder="1" applyFont="1">
      <alignment readingOrder="0" vertical="bottom"/>
    </xf>
    <xf borderId="6" fillId="5" fontId="20" numFmtId="0" xfId="0" applyAlignment="1" applyBorder="1" applyFont="1">
      <alignment vertical="bottom"/>
    </xf>
    <xf borderId="7" fillId="5" fontId="20" numFmtId="0" xfId="0" applyAlignment="1" applyBorder="1" applyFont="1">
      <alignment vertical="bottom"/>
    </xf>
    <xf borderId="5" fillId="6" fontId="20" numFmtId="0" xfId="0" applyAlignment="1" applyBorder="1" applyFont="1">
      <alignment readingOrder="0" vertical="bottom"/>
    </xf>
    <xf borderId="6" fillId="6" fontId="20" numFmtId="0" xfId="0" applyAlignment="1" applyBorder="1" applyFont="1">
      <alignment vertical="bottom"/>
    </xf>
    <xf borderId="7" fillId="6" fontId="20" numFmtId="0" xfId="0" applyAlignment="1" applyBorder="1" applyFont="1">
      <alignment vertical="bottom"/>
    </xf>
    <xf borderId="4" fillId="0" fontId="7" numFmtId="167" xfId="0" applyAlignment="1" applyBorder="1" applyFont="1" applyNumberFormat="1">
      <alignment horizontal="right" vertical="bottom"/>
    </xf>
    <xf borderId="5" fillId="13" fontId="20" numFmtId="0" xfId="0" applyAlignment="1" applyBorder="1" applyFill="1" applyFont="1">
      <alignment readingOrder="0" vertical="bottom"/>
    </xf>
    <xf borderId="6" fillId="13" fontId="20" numFmtId="0" xfId="0" applyAlignment="1" applyBorder="1" applyFont="1">
      <alignment vertical="bottom"/>
    </xf>
    <xf borderId="7" fillId="13" fontId="20" numFmtId="0" xfId="0" applyAlignment="1" applyBorder="1" applyFont="1">
      <alignment vertical="bottom"/>
    </xf>
    <xf borderId="0" fillId="0" fontId="7" numFmtId="0" xfId="0" applyAlignment="1" applyFont="1">
      <alignment readingOrder="0" vertical="bottom"/>
    </xf>
    <xf borderId="5" fillId="14" fontId="20" numFmtId="0" xfId="0" applyAlignment="1" applyBorder="1" applyFill="1" applyFont="1">
      <alignment readingOrder="0" vertical="bottom"/>
    </xf>
    <xf borderId="6" fillId="14" fontId="20" numFmtId="0" xfId="0" applyAlignment="1" applyBorder="1" applyFont="1">
      <alignment vertical="bottom"/>
    </xf>
    <xf borderId="7" fillId="14" fontId="20" numFmtId="0" xfId="0" applyAlignment="1" applyBorder="1" applyFont="1">
      <alignment vertical="bottom"/>
    </xf>
    <xf borderId="4" fillId="0" fontId="7" numFmtId="165" xfId="0" applyAlignment="1" applyBorder="1" applyFont="1" applyNumberFormat="1">
      <alignment horizontal="right" readingOrder="0" vertical="bottom"/>
    </xf>
    <xf borderId="5" fillId="15" fontId="20" numFmtId="0" xfId="0" applyAlignment="1" applyBorder="1" applyFill="1" applyFont="1">
      <alignment vertical="bottom"/>
    </xf>
    <xf borderId="6" fillId="15" fontId="20" numFmtId="0" xfId="0" applyAlignment="1" applyBorder="1" applyFont="1">
      <alignment vertical="bottom"/>
    </xf>
    <xf borderId="7" fillId="15" fontId="20" numFmtId="0" xfId="0" applyAlignment="1" applyBorder="1" applyFont="1">
      <alignment vertical="bottom"/>
    </xf>
    <xf borderId="4" fillId="0" fontId="7" numFmtId="2" xfId="0" applyAlignment="1" applyBorder="1" applyFont="1" applyNumberFormat="1">
      <alignment horizontal="right" vertical="bottom"/>
    </xf>
    <xf borderId="4" fillId="6" fontId="25" numFmtId="0" xfId="0" applyAlignment="1" applyBorder="1" applyFont="1">
      <alignment vertical="bottom"/>
    </xf>
    <xf borderId="0" fillId="6" fontId="26" numFmtId="0" xfId="0" applyAlignment="1" applyFont="1">
      <alignment vertical="bottom"/>
    </xf>
    <xf borderId="0" fillId="6" fontId="26" numFmtId="0" xfId="0" applyAlignment="1" applyFont="1">
      <alignment vertical="bottom"/>
    </xf>
    <xf borderId="0" fillId="0" fontId="22" numFmtId="0" xfId="0" applyAlignment="1" applyFont="1">
      <alignment horizontal="right" readingOrder="0" vertical="bottom"/>
    </xf>
    <xf borderId="0" fillId="0" fontId="22" numFmtId="0" xfId="0" applyAlignment="1" applyFont="1">
      <alignment horizontal="right" vertical="bottom"/>
    </xf>
    <xf borderId="0" fillId="0" fontId="27" numFmtId="0" xfId="0" applyAlignment="1" applyFont="1">
      <alignment vertical="bottom"/>
    </xf>
    <xf borderId="0" fillId="0" fontId="7" numFmtId="168" xfId="0" applyAlignment="1" applyFont="1" applyNumberFormat="1">
      <alignment horizontal="right" vertical="bottom"/>
    </xf>
    <xf borderId="0" fillId="0" fontId="7" numFmtId="168" xfId="0" applyAlignment="1" applyFont="1" applyNumberFormat="1">
      <alignment horizontal="right" readingOrder="0" vertical="bottom"/>
    </xf>
    <xf borderId="0" fillId="0" fontId="22" numFmtId="168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1" fillId="9" fontId="28" numFmtId="0" xfId="0" applyAlignment="1" applyBorder="1" applyFont="1">
      <alignment vertical="bottom"/>
    </xf>
    <xf borderId="1" fillId="9" fontId="28" numFmtId="10" xfId="0" applyAlignment="1" applyBorder="1" applyFont="1" applyNumberFormat="1">
      <alignment vertical="bottom"/>
    </xf>
    <xf borderId="1" fillId="9" fontId="7" numFmtId="168" xfId="0" applyAlignment="1" applyBorder="1" applyFont="1" applyNumberFormat="1">
      <alignment vertical="bottom"/>
    </xf>
    <xf borderId="0" fillId="0" fontId="29" numFmtId="0" xfId="0" applyAlignment="1" applyFont="1">
      <alignment vertical="bottom"/>
    </xf>
    <xf borderId="0" fillId="0" fontId="7" numFmtId="168" xfId="0" applyAlignment="1" applyFont="1" applyNumberFormat="1">
      <alignment vertical="bottom"/>
    </xf>
    <xf borderId="1" fillId="9" fontId="7" numFmtId="0" xfId="0" applyAlignment="1" applyBorder="1" applyFont="1">
      <alignment vertical="bottom"/>
    </xf>
    <xf borderId="1" fillId="9" fontId="30" numFmtId="10" xfId="0" applyAlignment="1" applyBorder="1" applyFont="1" applyNumberFormat="1">
      <alignment vertical="bottom"/>
    </xf>
    <xf borderId="1" fillId="16" fontId="27" numFmtId="0" xfId="0" applyAlignment="1" applyBorder="1" applyFill="1" applyFont="1">
      <alignment vertical="bottom"/>
    </xf>
    <xf borderId="1" fillId="16" fontId="7" numFmtId="1" xfId="0" applyAlignment="1" applyBorder="1" applyFont="1" applyNumberFormat="1">
      <alignment horizontal="right" vertical="bottom"/>
    </xf>
    <xf borderId="1" fillId="9" fontId="30" numFmtId="0" xfId="0" applyAlignment="1" applyBorder="1" applyFont="1">
      <alignment vertical="bottom"/>
    </xf>
    <xf borderId="1" fillId="9" fontId="7" numFmtId="10" xfId="0" applyAlignment="1" applyBorder="1" applyFont="1" applyNumberFormat="1">
      <alignment vertical="bottom"/>
    </xf>
    <xf borderId="0" fillId="0" fontId="7" numFmtId="169" xfId="0" applyAlignment="1" applyFont="1" applyNumberFormat="1">
      <alignment horizontal="right" vertical="bottom"/>
    </xf>
    <xf borderId="0" fillId="0" fontId="31" numFmtId="0" xfId="0" applyFont="1"/>
    <xf borderId="1" fillId="9" fontId="7" numFmtId="1" xfId="0" applyAlignment="1" applyBorder="1" applyFont="1" applyNumberFormat="1">
      <alignment vertical="bottom"/>
    </xf>
    <xf borderId="1" fillId="9" fontId="28" numFmtId="168" xfId="0" applyAlignment="1" applyBorder="1" applyFont="1" applyNumberFormat="1">
      <alignment vertical="bottom"/>
    </xf>
    <xf borderId="0" fillId="0" fontId="32" numFmtId="0" xfId="0" applyAlignment="1" applyFont="1">
      <alignment vertical="bottom"/>
    </xf>
    <xf borderId="0" fillId="0" fontId="22" numFmtId="168" xfId="0" applyAlignment="1" applyFont="1" applyNumberFormat="1">
      <alignment vertical="bottom"/>
    </xf>
    <xf borderId="8" fillId="0" fontId="7" numFmtId="0" xfId="0" applyAlignment="1" applyBorder="1" applyFont="1">
      <alignment vertical="bottom"/>
    </xf>
    <xf borderId="8" fillId="0" fontId="7" numFmtId="168" xfId="0" applyAlignment="1" applyBorder="1" applyFont="1" applyNumberFormat="1">
      <alignment vertical="bottom"/>
    </xf>
    <xf borderId="1" fillId="9" fontId="2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2.71"/>
    <col customWidth="1" min="3" max="14" width="9.14"/>
    <col customWidth="1" min="15" max="15" width="12.0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5" t="s">
        <v>3</v>
      </c>
      <c r="B5" s="6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N5" s="7" t="s">
        <v>16</v>
      </c>
      <c r="O5" s="8"/>
    </row>
    <row r="7">
      <c r="A7" s="9" t="s">
        <v>17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</row>
    <row r="8">
      <c r="B8" s="12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>
      <c r="A9" s="13" t="s">
        <v>18</v>
      </c>
      <c r="B9" s="14">
        <f t="shared" ref="B9:B10" si="1">SUM(C9:N9)</f>
        <v>202275</v>
      </c>
      <c r="C9" s="14">
        <f>'Revenue Projection'!C9</f>
        <v>11775</v>
      </c>
      <c r="D9" s="14">
        <f>'Revenue Projection'!D9</f>
        <v>13410</v>
      </c>
      <c r="E9" s="14">
        <f>'Revenue Projection'!E9</f>
        <v>15420</v>
      </c>
      <c r="F9" s="14">
        <f>'Revenue Projection'!F9</f>
        <v>17030</v>
      </c>
      <c r="G9" s="14">
        <f>'Revenue Projection'!G9</f>
        <v>17430</v>
      </c>
      <c r="H9" s="14">
        <f>'Revenue Projection'!H9</f>
        <v>17430</v>
      </c>
      <c r="I9" s="14">
        <f>'Revenue Projection'!I9</f>
        <v>17830</v>
      </c>
      <c r="J9" s="14">
        <f>'Revenue Projection'!J9</f>
        <v>17830</v>
      </c>
      <c r="K9" s="14">
        <f>'Revenue Projection'!K9</f>
        <v>18230</v>
      </c>
      <c r="L9" s="14">
        <f>'Revenue Projection'!L9</f>
        <v>18230</v>
      </c>
      <c r="M9" s="14">
        <f>'Revenue Projection'!M9</f>
        <v>18630</v>
      </c>
      <c r="N9" s="14">
        <f>'Revenue Projection'!N9</f>
        <v>19030</v>
      </c>
      <c r="O9" s="15"/>
    </row>
    <row r="10">
      <c r="A10" s="16" t="s">
        <v>19</v>
      </c>
      <c r="B10" s="14">
        <f t="shared" si="1"/>
        <v>216730.96</v>
      </c>
      <c r="C10" s="14">
        <f>'Revenue Projection'!C152</f>
        <v>0</v>
      </c>
      <c r="D10" s="14">
        <f>'Revenue Projection'!D152</f>
        <v>0</v>
      </c>
      <c r="E10" s="14">
        <f>'Revenue Projection'!E152</f>
        <v>0</v>
      </c>
      <c r="F10" s="14">
        <f>'Revenue Projection'!F152</f>
        <v>25125.12</v>
      </c>
      <c r="G10" s="14">
        <f>'Revenue Projection'!G152</f>
        <v>25905.12</v>
      </c>
      <c r="H10" s="14">
        <f>'Revenue Projection'!H152</f>
        <v>25455.12</v>
      </c>
      <c r="I10" s="14">
        <f>'Revenue Projection'!I152</f>
        <v>23025.12</v>
      </c>
      <c r="J10" s="14">
        <f>'Revenue Projection'!J152</f>
        <v>19681.56</v>
      </c>
      <c r="K10" s="14">
        <f>'Revenue Projection'!K152</f>
        <v>22561.56</v>
      </c>
      <c r="L10" s="14">
        <f>'Revenue Projection'!L152</f>
        <v>26765.12</v>
      </c>
      <c r="M10" s="14">
        <f>'Revenue Projection'!M152</f>
        <v>27985.12</v>
      </c>
      <c r="N10" s="14">
        <f>'Revenue Projection'!N152</f>
        <v>20227.12</v>
      </c>
      <c r="O10" s="15"/>
    </row>
    <row r="11" ht="15.7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7" t="s">
        <v>20</v>
      </c>
      <c r="B12" s="18">
        <f>SUM(C12:N12)</f>
        <v>419005.96</v>
      </c>
      <c r="C12" s="18">
        <f t="shared" ref="C12:N12" si="2">C9+C10</f>
        <v>11775</v>
      </c>
      <c r="D12" s="18">
        <f t="shared" si="2"/>
        <v>13410</v>
      </c>
      <c r="E12" s="18">
        <f t="shared" si="2"/>
        <v>15420</v>
      </c>
      <c r="F12" s="18">
        <f t="shared" si="2"/>
        <v>42155.12</v>
      </c>
      <c r="G12" s="18">
        <f t="shared" si="2"/>
        <v>43335.12</v>
      </c>
      <c r="H12" s="18">
        <f t="shared" si="2"/>
        <v>42885.12</v>
      </c>
      <c r="I12" s="18">
        <f t="shared" si="2"/>
        <v>40855.12</v>
      </c>
      <c r="J12" s="18">
        <f t="shared" si="2"/>
        <v>37511.56</v>
      </c>
      <c r="K12" s="18">
        <f t="shared" si="2"/>
        <v>40791.56</v>
      </c>
      <c r="L12" s="18">
        <f t="shared" si="2"/>
        <v>44995.12</v>
      </c>
      <c r="M12" s="18">
        <f t="shared" si="2"/>
        <v>46615.12</v>
      </c>
      <c r="N12" s="18">
        <f t="shared" si="2"/>
        <v>39257.12</v>
      </c>
      <c r="O12" s="15"/>
    </row>
    <row r="13" ht="15.75" customHeight="1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4" t="s">
        <v>21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3" t="s">
        <v>22</v>
      </c>
      <c r="B15" s="12">
        <f t="shared" ref="B15:B18" si="3">SUM(C15:N15)</f>
        <v>114996</v>
      </c>
      <c r="C15" s="19">
        <v>9583.0</v>
      </c>
      <c r="D15" s="19">
        <v>9583.0</v>
      </c>
      <c r="E15" s="19">
        <v>9583.0</v>
      </c>
      <c r="F15" s="19">
        <v>9583.0</v>
      </c>
      <c r="G15" s="19">
        <v>9583.0</v>
      </c>
      <c r="H15" s="19">
        <v>9583.0</v>
      </c>
      <c r="I15" s="19">
        <v>9583.0</v>
      </c>
      <c r="J15" s="19">
        <v>9583.0</v>
      </c>
      <c r="K15" s="19">
        <v>9583.0</v>
      </c>
      <c r="L15" s="19">
        <v>9583.0</v>
      </c>
      <c r="M15" s="19">
        <v>9583.0</v>
      </c>
      <c r="N15" s="19">
        <v>9583.0</v>
      </c>
      <c r="O15" s="19"/>
    </row>
    <row r="16" ht="15.75" customHeight="1">
      <c r="A16" s="3" t="s">
        <v>23</v>
      </c>
      <c r="B16" s="12">
        <f t="shared" si="3"/>
        <v>69996</v>
      </c>
      <c r="C16" s="19">
        <v>5833.0</v>
      </c>
      <c r="D16" s="19">
        <v>5833.0</v>
      </c>
      <c r="E16" s="19">
        <v>5833.0</v>
      </c>
      <c r="F16" s="19">
        <v>5833.0</v>
      </c>
      <c r="G16" s="19">
        <v>5833.0</v>
      </c>
      <c r="H16" s="19">
        <v>5833.0</v>
      </c>
      <c r="I16" s="19">
        <v>5833.0</v>
      </c>
      <c r="J16" s="19">
        <v>5833.0</v>
      </c>
      <c r="K16" s="19">
        <v>5833.0</v>
      </c>
      <c r="L16" s="19">
        <v>5833.0</v>
      </c>
      <c r="M16" s="19">
        <v>5833.0</v>
      </c>
      <c r="N16" s="19">
        <v>5833.0</v>
      </c>
      <c r="O16" s="19"/>
    </row>
    <row r="17" ht="15.75" customHeight="1">
      <c r="A17" s="3" t="s">
        <v>24</v>
      </c>
      <c r="B17" s="12">
        <f t="shared" si="3"/>
        <v>50004</v>
      </c>
      <c r="C17" s="19">
        <v>4167.0</v>
      </c>
      <c r="D17" s="19">
        <v>4167.0</v>
      </c>
      <c r="E17" s="19">
        <v>4167.0</v>
      </c>
      <c r="F17" s="19">
        <v>4167.0</v>
      </c>
      <c r="G17" s="19">
        <v>4167.0</v>
      </c>
      <c r="H17" s="19">
        <v>4167.0</v>
      </c>
      <c r="I17" s="19">
        <v>4167.0</v>
      </c>
      <c r="J17" s="19">
        <v>4167.0</v>
      </c>
      <c r="K17" s="19">
        <v>4167.0</v>
      </c>
      <c r="L17" s="19">
        <v>4167.0</v>
      </c>
      <c r="M17" s="19">
        <v>4167.0</v>
      </c>
      <c r="N17" s="19">
        <v>4167.0</v>
      </c>
      <c r="O17" s="19"/>
    </row>
    <row r="18" ht="15.75" customHeight="1">
      <c r="A18" s="20" t="s">
        <v>25</v>
      </c>
      <c r="B18" s="12">
        <f t="shared" si="3"/>
        <v>23499.6</v>
      </c>
      <c r="C18" s="12">
        <f t="shared" ref="C18:N18" si="4">SUM(C15:C17)*0.1</f>
        <v>1958.3</v>
      </c>
      <c r="D18" s="12">
        <f t="shared" si="4"/>
        <v>1958.3</v>
      </c>
      <c r="E18" s="12">
        <f t="shared" si="4"/>
        <v>1958.3</v>
      </c>
      <c r="F18" s="12">
        <f t="shared" si="4"/>
        <v>1958.3</v>
      </c>
      <c r="G18" s="12">
        <f t="shared" si="4"/>
        <v>1958.3</v>
      </c>
      <c r="H18" s="12">
        <f t="shared" si="4"/>
        <v>1958.3</v>
      </c>
      <c r="I18" s="12">
        <f t="shared" si="4"/>
        <v>1958.3</v>
      </c>
      <c r="J18" s="12">
        <f t="shared" si="4"/>
        <v>1958.3</v>
      </c>
      <c r="K18" s="12">
        <f t="shared" si="4"/>
        <v>1958.3</v>
      </c>
      <c r="L18" s="12">
        <f t="shared" si="4"/>
        <v>1958.3</v>
      </c>
      <c r="M18" s="12">
        <f t="shared" si="4"/>
        <v>1958.3</v>
      </c>
      <c r="N18" s="12">
        <f t="shared" si="4"/>
        <v>1958.3</v>
      </c>
      <c r="O18" s="12"/>
    </row>
    <row r="19" ht="15.75" customHeight="1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21" t="s">
        <v>26</v>
      </c>
      <c r="B20" s="22">
        <f>SUM(C20:N20)</f>
        <v>153768</v>
      </c>
      <c r="C20" s="23">
        <v>12814.0</v>
      </c>
      <c r="D20" s="23">
        <v>12814.0</v>
      </c>
      <c r="E20" s="23">
        <v>12814.0</v>
      </c>
      <c r="F20" s="23">
        <v>12814.0</v>
      </c>
      <c r="G20" s="23">
        <v>12814.0</v>
      </c>
      <c r="H20" s="23">
        <v>12814.0</v>
      </c>
      <c r="I20" s="23">
        <v>12814.0</v>
      </c>
      <c r="J20" s="23">
        <v>12814.0</v>
      </c>
      <c r="K20" s="23">
        <v>12814.0</v>
      </c>
      <c r="L20" s="23">
        <v>12814.0</v>
      </c>
      <c r="M20" s="23">
        <v>12814.0</v>
      </c>
      <c r="N20" s="23">
        <v>12814.0</v>
      </c>
      <c r="O20" s="19"/>
    </row>
    <row r="21" ht="15.75" customHeight="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5" t="s">
        <v>27</v>
      </c>
      <c r="B22" s="24">
        <f>SUM(C22:N22)</f>
        <v>831269.56</v>
      </c>
      <c r="C22" s="25">
        <f t="shared" ref="C22:N22" si="5">sum(C15:C20)+C12</f>
        <v>46130.3</v>
      </c>
      <c r="D22" s="25">
        <f t="shared" si="5"/>
        <v>47765.3</v>
      </c>
      <c r="E22" s="25">
        <f t="shared" si="5"/>
        <v>49775.3</v>
      </c>
      <c r="F22" s="25">
        <f t="shared" si="5"/>
        <v>76510.42</v>
      </c>
      <c r="G22" s="25">
        <f t="shared" si="5"/>
        <v>77690.42</v>
      </c>
      <c r="H22" s="25">
        <f t="shared" si="5"/>
        <v>77240.42</v>
      </c>
      <c r="I22" s="25">
        <f t="shared" si="5"/>
        <v>75210.42</v>
      </c>
      <c r="J22" s="25">
        <f t="shared" si="5"/>
        <v>71866.86</v>
      </c>
      <c r="K22" s="25">
        <f t="shared" si="5"/>
        <v>75146.86</v>
      </c>
      <c r="L22" s="25">
        <f t="shared" si="5"/>
        <v>79350.42</v>
      </c>
      <c r="M22" s="25">
        <f t="shared" si="5"/>
        <v>80970.42</v>
      </c>
      <c r="N22" s="25">
        <f t="shared" si="5"/>
        <v>73612.42</v>
      </c>
      <c r="O22" s="26"/>
    </row>
    <row r="23" ht="15.75" customHeight="1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9" t="s">
        <v>28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ht="15.75" customHeight="1">
      <c r="A25" s="4" t="s">
        <v>29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27" t="s">
        <v>30</v>
      </c>
      <c r="B26" s="12">
        <f t="shared" ref="B26:B29" si="6">SUM(C26:N26)</f>
        <v>102180</v>
      </c>
      <c r="C26" s="19">
        <f>Staffing!I9</f>
        <v>8515</v>
      </c>
      <c r="D26" s="19">
        <f>Staffing!I9</f>
        <v>8515</v>
      </c>
      <c r="E26" s="19">
        <f>Staffing!I9</f>
        <v>8515</v>
      </c>
      <c r="F26" s="19">
        <f>Staffing!I9</f>
        <v>8515</v>
      </c>
      <c r="G26" s="19">
        <f>Staffing!I9</f>
        <v>8515</v>
      </c>
      <c r="H26" s="19">
        <f>Staffing!I9</f>
        <v>8515</v>
      </c>
      <c r="I26" s="19">
        <f>Staffing!I9</f>
        <v>8515</v>
      </c>
      <c r="J26" s="19">
        <f>Staffing!I9</f>
        <v>8515</v>
      </c>
      <c r="K26" s="19">
        <f>Staffing!I9</f>
        <v>8515</v>
      </c>
      <c r="L26" s="19">
        <f>Staffing!I9</f>
        <v>8515</v>
      </c>
      <c r="M26" s="19">
        <f>Staffing!I9</f>
        <v>8515</v>
      </c>
      <c r="N26" s="19">
        <f>Staffing!I9</f>
        <v>8515</v>
      </c>
      <c r="O26" s="19"/>
    </row>
    <row r="27" ht="15.75" customHeight="1">
      <c r="A27" s="27" t="s">
        <v>31</v>
      </c>
      <c r="B27" s="12">
        <f t="shared" si="6"/>
        <v>199080</v>
      </c>
      <c r="C27" s="28">
        <v>0.0</v>
      </c>
      <c r="D27" s="28">
        <v>0.0</v>
      </c>
      <c r="E27" s="28">
        <v>0.0</v>
      </c>
      <c r="F27" s="19">
        <f>Staffing!G9*4</f>
        <v>22120</v>
      </c>
      <c r="G27" s="19">
        <f>Staffing!G9*4</f>
        <v>22120</v>
      </c>
      <c r="H27" s="19">
        <f>Staffing!G9*4</f>
        <v>22120</v>
      </c>
      <c r="I27" s="19">
        <f>Staffing!G9*4</f>
        <v>22120</v>
      </c>
      <c r="J27" s="19">
        <f>Staffing!G9*4</f>
        <v>22120</v>
      </c>
      <c r="K27" s="19">
        <f>Staffing!G9*4</f>
        <v>22120</v>
      </c>
      <c r="L27" s="19">
        <f>Staffing!G9*4</f>
        <v>22120</v>
      </c>
      <c r="M27" s="19">
        <f>Staffing!G9*4</f>
        <v>22120</v>
      </c>
      <c r="N27" s="19">
        <f>Staffing!G9*4</f>
        <v>22120</v>
      </c>
      <c r="O27" s="19"/>
    </row>
    <row r="28" ht="15.75" customHeight="1">
      <c r="A28" s="27" t="s">
        <v>32</v>
      </c>
      <c r="B28" s="12">
        <f t="shared" si="6"/>
        <v>66360</v>
      </c>
      <c r="C28" s="19">
        <f>Staffing!G9</f>
        <v>5530</v>
      </c>
      <c r="D28" s="19">
        <f>Staffing!G9</f>
        <v>5530</v>
      </c>
      <c r="E28" s="19">
        <f>Staffing!G9</f>
        <v>5530</v>
      </c>
      <c r="F28" s="19">
        <f>Staffing!G9</f>
        <v>5530</v>
      </c>
      <c r="G28" s="19">
        <f>Staffing!G9</f>
        <v>5530</v>
      </c>
      <c r="H28" s="19">
        <f>Staffing!G9</f>
        <v>5530</v>
      </c>
      <c r="I28" s="19">
        <f>Staffing!G9</f>
        <v>5530</v>
      </c>
      <c r="J28" s="19">
        <f>Staffing!G9</f>
        <v>5530</v>
      </c>
      <c r="K28" s="19">
        <f>Staffing!G9</f>
        <v>5530</v>
      </c>
      <c r="L28" s="19">
        <f>Staffing!G9</f>
        <v>5530</v>
      </c>
      <c r="M28" s="19">
        <f>Staffing!G9</f>
        <v>5530</v>
      </c>
      <c r="N28" s="19">
        <f>Staffing!G9</f>
        <v>5530</v>
      </c>
      <c r="O28" s="19"/>
    </row>
    <row r="29" ht="15.75" customHeight="1">
      <c r="A29" s="13" t="s">
        <v>33</v>
      </c>
      <c r="B29" s="14">
        <f t="shared" si="6"/>
        <v>367620</v>
      </c>
      <c r="C29" s="14">
        <f t="shared" ref="C29:N29" si="7">SUM(C26:C28)</f>
        <v>14045</v>
      </c>
      <c r="D29" s="14">
        <f t="shared" si="7"/>
        <v>14045</v>
      </c>
      <c r="E29" s="14">
        <f t="shared" si="7"/>
        <v>14045</v>
      </c>
      <c r="F29" s="14">
        <f t="shared" si="7"/>
        <v>36165</v>
      </c>
      <c r="G29" s="14">
        <f t="shared" si="7"/>
        <v>36165</v>
      </c>
      <c r="H29" s="14">
        <f t="shared" si="7"/>
        <v>36165</v>
      </c>
      <c r="I29" s="14">
        <f t="shared" si="7"/>
        <v>36165</v>
      </c>
      <c r="J29" s="14">
        <f t="shared" si="7"/>
        <v>36165</v>
      </c>
      <c r="K29" s="14">
        <f t="shared" si="7"/>
        <v>36165</v>
      </c>
      <c r="L29" s="14">
        <f t="shared" si="7"/>
        <v>36165</v>
      </c>
      <c r="M29" s="14">
        <f t="shared" si="7"/>
        <v>36165</v>
      </c>
      <c r="N29" s="14">
        <f t="shared" si="7"/>
        <v>36165</v>
      </c>
      <c r="O29" s="15"/>
    </row>
    <row r="30" ht="15.75" customHeight="1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ht="15.75" customHeight="1">
      <c r="A31" s="29" t="s">
        <v>34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ht="15.75" customHeight="1">
      <c r="A32" s="27" t="s">
        <v>35</v>
      </c>
      <c r="B32" s="12">
        <f t="shared" ref="B32:B35" si="9">SUM(C32:N32)</f>
        <v>114996</v>
      </c>
      <c r="C32" s="19">
        <f t="shared" ref="C32:N32" si="8">C15</f>
        <v>9583</v>
      </c>
      <c r="D32" s="19">
        <f t="shared" si="8"/>
        <v>9583</v>
      </c>
      <c r="E32" s="19">
        <f t="shared" si="8"/>
        <v>9583</v>
      </c>
      <c r="F32" s="19">
        <f t="shared" si="8"/>
        <v>9583</v>
      </c>
      <c r="G32" s="19">
        <f t="shared" si="8"/>
        <v>9583</v>
      </c>
      <c r="H32" s="19">
        <f t="shared" si="8"/>
        <v>9583</v>
      </c>
      <c r="I32" s="19">
        <f t="shared" si="8"/>
        <v>9583</v>
      </c>
      <c r="J32" s="19">
        <f t="shared" si="8"/>
        <v>9583</v>
      </c>
      <c r="K32" s="19">
        <f t="shared" si="8"/>
        <v>9583</v>
      </c>
      <c r="L32" s="19">
        <f t="shared" si="8"/>
        <v>9583</v>
      </c>
      <c r="M32" s="19">
        <f t="shared" si="8"/>
        <v>9583</v>
      </c>
      <c r="N32" s="19">
        <f t="shared" si="8"/>
        <v>9583</v>
      </c>
      <c r="O32" s="19"/>
    </row>
    <row r="33" ht="15.75" customHeight="1">
      <c r="A33" s="27" t="s">
        <v>36</v>
      </c>
      <c r="B33" s="12">
        <f t="shared" si="9"/>
        <v>69996</v>
      </c>
      <c r="C33" s="19">
        <f t="shared" ref="C33:N33" si="10">C16</f>
        <v>5833</v>
      </c>
      <c r="D33" s="19">
        <f t="shared" si="10"/>
        <v>5833</v>
      </c>
      <c r="E33" s="19">
        <f t="shared" si="10"/>
        <v>5833</v>
      </c>
      <c r="F33" s="19">
        <f t="shared" si="10"/>
        <v>5833</v>
      </c>
      <c r="G33" s="19">
        <f t="shared" si="10"/>
        <v>5833</v>
      </c>
      <c r="H33" s="19">
        <f t="shared" si="10"/>
        <v>5833</v>
      </c>
      <c r="I33" s="19">
        <f t="shared" si="10"/>
        <v>5833</v>
      </c>
      <c r="J33" s="19">
        <f t="shared" si="10"/>
        <v>5833</v>
      </c>
      <c r="K33" s="19">
        <f t="shared" si="10"/>
        <v>5833</v>
      </c>
      <c r="L33" s="19">
        <f t="shared" si="10"/>
        <v>5833</v>
      </c>
      <c r="M33" s="19">
        <f t="shared" si="10"/>
        <v>5833</v>
      </c>
      <c r="N33" s="19">
        <f t="shared" si="10"/>
        <v>5833</v>
      </c>
      <c r="O33" s="19"/>
    </row>
    <row r="34" ht="15.75" customHeight="1">
      <c r="A34" s="27" t="s">
        <v>37</v>
      </c>
      <c r="B34" s="12">
        <f t="shared" si="9"/>
        <v>50004</v>
      </c>
      <c r="C34" s="19">
        <f t="shared" ref="C34:N34" si="11">C17</f>
        <v>4167</v>
      </c>
      <c r="D34" s="19">
        <f t="shared" si="11"/>
        <v>4167</v>
      </c>
      <c r="E34" s="19">
        <f t="shared" si="11"/>
        <v>4167</v>
      </c>
      <c r="F34" s="19">
        <f t="shared" si="11"/>
        <v>4167</v>
      </c>
      <c r="G34" s="19">
        <f t="shared" si="11"/>
        <v>4167</v>
      </c>
      <c r="H34" s="19">
        <f t="shared" si="11"/>
        <v>4167</v>
      </c>
      <c r="I34" s="19">
        <f t="shared" si="11"/>
        <v>4167</v>
      </c>
      <c r="J34" s="19">
        <f t="shared" si="11"/>
        <v>4167</v>
      </c>
      <c r="K34" s="19">
        <f t="shared" si="11"/>
        <v>4167</v>
      </c>
      <c r="L34" s="19">
        <f t="shared" si="11"/>
        <v>4167</v>
      </c>
      <c r="M34" s="19">
        <f t="shared" si="11"/>
        <v>4167</v>
      </c>
      <c r="N34" s="19">
        <f t="shared" si="11"/>
        <v>4167</v>
      </c>
      <c r="O34" s="19"/>
    </row>
    <row r="35" ht="15.75" customHeight="1">
      <c r="A35" s="13" t="s">
        <v>38</v>
      </c>
      <c r="B35" s="14">
        <f t="shared" si="9"/>
        <v>234996</v>
      </c>
      <c r="C35" s="14">
        <f t="shared" ref="C35:N35" si="12">SUM(C32:C34)</f>
        <v>19583</v>
      </c>
      <c r="D35" s="14">
        <f t="shared" si="12"/>
        <v>19583</v>
      </c>
      <c r="E35" s="14">
        <f t="shared" si="12"/>
        <v>19583</v>
      </c>
      <c r="F35" s="14">
        <f t="shared" si="12"/>
        <v>19583</v>
      </c>
      <c r="G35" s="14">
        <f t="shared" si="12"/>
        <v>19583</v>
      </c>
      <c r="H35" s="14">
        <f t="shared" si="12"/>
        <v>19583</v>
      </c>
      <c r="I35" s="14">
        <f t="shared" si="12"/>
        <v>19583</v>
      </c>
      <c r="J35" s="14">
        <f t="shared" si="12"/>
        <v>19583</v>
      </c>
      <c r="K35" s="14">
        <f t="shared" si="12"/>
        <v>19583</v>
      </c>
      <c r="L35" s="14">
        <f t="shared" si="12"/>
        <v>19583</v>
      </c>
      <c r="M35" s="14">
        <f t="shared" si="12"/>
        <v>19583</v>
      </c>
      <c r="N35" s="14">
        <f t="shared" si="12"/>
        <v>19583</v>
      </c>
      <c r="O35" s="15"/>
    </row>
    <row r="36" ht="15.75" customHeight="1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ht="15.75" customHeight="1">
      <c r="A37" s="4" t="s">
        <v>39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ht="15.75" customHeight="1">
      <c r="A38" s="3" t="s">
        <v>40</v>
      </c>
      <c r="B38" s="12">
        <f t="shared" ref="B38:B44" si="13">SUM(C38:N38)</f>
        <v>30000</v>
      </c>
      <c r="C38" s="19">
        <v>2500.0</v>
      </c>
      <c r="D38" s="19">
        <v>2500.0</v>
      </c>
      <c r="E38" s="19">
        <v>2500.0</v>
      </c>
      <c r="F38" s="19">
        <v>2500.0</v>
      </c>
      <c r="G38" s="19">
        <v>2500.0</v>
      </c>
      <c r="H38" s="19">
        <v>2500.0</v>
      </c>
      <c r="I38" s="19">
        <v>2500.0</v>
      </c>
      <c r="J38" s="19">
        <v>2500.0</v>
      </c>
      <c r="K38" s="19">
        <v>2500.0</v>
      </c>
      <c r="L38" s="19">
        <v>2500.0</v>
      </c>
      <c r="M38" s="19">
        <v>2500.0</v>
      </c>
      <c r="N38" s="19">
        <v>2500.0</v>
      </c>
      <c r="O38" s="19"/>
    </row>
    <row r="39" ht="15.75" customHeight="1">
      <c r="A39" s="3" t="s">
        <v>41</v>
      </c>
      <c r="B39" s="12">
        <f t="shared" si="13"/>
        <v>6000</v>
      </c>
      <c r="C39" s="19">
        <v>500.0</v>
      </c>
      <c r="D39" s="19">
        <v>500.0</v>
      </c>
      <c r="E39" s="19">
        <v>500.0</v>
      </c>
      <c r="F39" s="19">
        <v>500.0</v>
      </c>
      <c r="G39" s="19">
        <v>500.0</v>
      </c>
      <c r="H39" s="19">
        <v>500.0</v>
      </c>
      <c r="I39" s="19">
        <v>500.0</v>
      </c>
      <c r="J39" s="19">
        <v>500.0</v>
      </c>
      <c r="K39" s="19">
        <v>500.0</v>
      </c>
      <c r="L39" s="19">
        <v>500.0</v>
      </c>
      <c r="M39" s="19">
        <v>500.0</v>
      </c>
      <c r="N39" s="19">
        <v>500.0</v>
      </c>
      <c r="O39" s="19"/>
    </row>
    <row r="40" ht="15.75" customHeight="1">
      <c r="A40" s="3" t="s">
        <v>42</v>
      </c>
      <c r="B40" s="12">
        <f t="shared" si="13"/>
        <v>15000</v>
      </c>
      <c r="C40" s="19">
        <v>1250.0</v>
      </c>
      <c r="D40" s="19">
        <v>1250.0</v>
      </c>
      <c r="E40" s="19">
        <v>1250.0</v>
      </c>
      <c r="F40" s="19">
        <v>1250.0</v>
      </c>
      <c r="G40" s="19">
        <v>1250.0</v>
      </c>
      <c r="H40" s="19">
        <v>1250.0</v>
      </c>
      <c r="I40" s="19">
        <v>1250.0</v>
      </c>
      <c r="J40" s="19">
        <v>1250.0</v>
      </c>
      <c r="K40" s="19">
        <v>1250.0</v>
      </c>
      <c r="L40" s="19">
        <v>1250.0</v>
      </c>
      <c r="M40" s="19">
        <v>1250.0</v>
      </c>
      <c r="N40" s="19">
        <v>1250.0</v>
      </c>
      <c r="O40" s="19"/>
    </row>
    <row r="41" ht="15.75" customHeight="1">
      <c r="A41" s="3" t="s">
        <v>43</v>
      </c>
      <c r="B41" s="12">
        <f t="shared" si="13"/>
        <v>12000</v>
      </c>
      <c r="C41" s="19">
        <v>1000.0</v>
      </c>
      <c r="D41" s="19">
        <v>1000.0</v>
      </c>
      <c r="E41" s="19">
        <v>1000.0</v>
      </c>
      <c r="F41" s="19">
        <v>1000.0</v>
      </c>
      <c r="G41" s="19">
        <v>1000.0</v>
      </c>
      <c r="H41" s="19">
        <v>1000.0</v>
      </c>
      <c r="I41" s="19">
        <v>1000.0</v>
      </c>
      <c r="J41" s="19">
        <v>1000.0</v>
      </c>
      <c r="K41" s="19">
        <v>1000.0</v>
      </c>
      <c r="L41" s="19">
        <v>1000.0</v>
      </c>
      <c r="M41" s="19">
        <v>1000.0</v>
      </c>
      <c r="N41" s="19">
        <v>1000.0</v>
      </c>
      <c r="O41" s="19"/>
    </row>
    <row r="42" ht="15.75" customHeight="1">
      <c r="A42" s="3" t="s">
        <v>44</v>
      </c>
      <c r="B42" s="12">
        <f t="shared" si="13"/>
        <v>18000</v>
      </c>
      <c r="C42" s="19">
        <v>1500.0</v>
      </c>
      <c r="D42" s="19">
        <v>1500.0</v>
      </c>
      <c r="E42" s="19">
        <v>1500.0</v>
      </c>
      <c r="F42" s="19">
        <v>1500.0</v>
      </c>
      <c r="G42" s="19">
        <v>1500.0</v>
      </c>
      <c r="H42" s="19">
        <v>1500.0</v>
      </c>
      <c r="I42" s="19">
        <v>1500.0</v>
      </c>
      <c r="J42" s="19">
        <v>1500.0</v>
      </c>
      <c r="K42" s="19">
        <v>1500.0</v>
      </c>
      <c r="L42" s="19">
        <v>1500.0</v>
      </c>
      <c r="M42" s="19">
        <v>1500.0</v>
      </c>
      <c r="N42" s="19">
        <v>1500.0</v>
      </c>
      <c r="O42" s="19"/>
    </row>
    <row r="43" ht="15.75" customHeight="1">
      <c r="A43" s="3" t="s">
        <v>45</v>
      </c>
      <c r="B43" s="12">
        <f t="shared" si="13"/>
        <v>9996</v>
      </c>
      <c r="C43" s="19">
        <v>833.0</v>
      </c>
      <c r="D43" s="19">
        <v>833.0</v>
      </c>
      <c r="E43" s="19">
        <v>833.0</v>
      </c>
      <c r="F43" s="19">
        <v>833.0</v>
      </c>
      <c r="G43" s="19">
        <v>833.0</v>
      </c>
      <c r="H43" s="19">
        <v>833.0</v>
      </c>
      <c r="I43" s="19">
        <v>833.0</v>
      </c>
      <c r="J43" s="19">
        <v>833.0</v>
      </c>
      <c r="K43" s="19">
        <v>833.0</v>
      </c>
      <c r="L43" s="19">
        <v>833.0</v>
      </c>
      <c r="M43" s="19">
        <v>833.0</v>
      </c>
      <c r="N43" s="19">
        <v>833.0</v>
      </c>
      <c r="O43" s="19"/>
    </row>
    <row r="44" ht="15.75" customHeight="1">
      <c r="A44" s="13" t="s">
        <v>46</v>
      </c>
      <c r="B44" s="14">
        <f t="shared" si="13"/>
        <v>90996</v>
      </c>
      <c r="C44" s="14">
        <f t="shared" ref="C44:N44" si="14">SUM(C38:C43)</f>
        <v>7583</v>
      </c>
      <c r="D44" s="14">
        <f t="shared" si="14"/>
        <v>7583</v>
      </c>
      <c r="E44" s="14">
        <f t="shared" si="14"/>
        <v>7583</v>
      </c>
      <c r="F44" s="14">
        <f t="shared" si="14"/>
        <v>7583</v>
      </c>
      <c r="G44" s="14">
        <f t="shared" si="14"/>
        <v>7583</v>
      </c>
      <c r="H44" s="14">
        <f t="shared" si="14"/>
        <v>7583</v>
      </c>
      <c r="I44" s="14">
        <f t="shared" si="14"/>
        <v>7583</v>
      </c>
      <c r="J44" s="14">
        <f t="shared" si="14"/>
        <v>7583</v>
      </c>
      <c r="K44" s="14">
        <f t="shared" si="14"/>
        <v>7583</v>
      </c>
      <c r="L44" s="14">
        <f t="shared" si="14"/>
        <v>7583</v>
      </c>
      <c r="M44" s="14">
        <f t="shared" si="14"/>
        <v>7583</v>
      </c>
      <c r="N44" s="14">
        <f t="shared" si="14"/>
        <v>7583</v>
      </c>
      <c r="O44" s="15"/>
    </row>
    <row r="45" ht="15.75" customHeight="1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ht="15.75" customHeight="1">
      <c r="A46" s="29" t="s">
        <v>47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ht="15.75" customHeight="1">
      <c r="A47" s="3" t="s">
        <v>48</v>
      </c>
      <c r="B47" s="12">
        <f>SUM(C47:N47)</f>
        <v>75000</v>
      </c>
      <c r="C47" s="19">
        <v>6250.0</v>
      </c>
      <c r="D47" s="19">
        <v>6250.0</v>
      </c>
      <c r="E47" s="19">
        <v>6250.0</v>
      </c>
      <c r="F47" s="19">
        <v>6250.0</v>
      </c>
      <c r="G47" s="19">
        <v>6250.0</v>
      </c>
      <c r="H47" s="19">
        <v>6250.0</v>
      </c>
      <c r="I47" s="19">
        <v>6250.0</v>
      </c>
      <c r="J47" s="19">
        <v>6250.0</v>
      </c>
      <c r="K47" s="19">
        <v>6250.0</v>
      </c>
      <c r="L47" s="19">
        <v>6250.0</v>
      </c>
      <c r="M47" s="19">
        <v>6250.0</v>
      </c>
      <c r="N47" s="19">
        <v>6250.0</v>
      </c>
      <c r="O47" s="19"/>
    </row>
    <row r="48" ht="15.75" customHeight="1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ht="15.75" customHeight="1">
      <c r="A49" s="4" t="s">
        <v>49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ht="15.75" customHeight="1">
      <c r="A50" s="3" t="s">
        <v>50</v>
      </c>
      <c r="B50" s="12">
        <f t="shared" ref="B50:B51" si="15">SUM(C50:N50)</f>
        <v>6000</v>
      </c>
      <c r="C50" s="19">
        <v>500.0</v>
      </c>
      <c r="D50" s="19">
        <v>500.0</v>
      </c>
      <c r="E50" s="19">
        <v>500.0</v>
      </c>
      <c r="F50" s="19">
        <v>500.0</v>
      </c>
      <c r="G50" s="19">
        <v>500.0</v>
      </c>
      <c r="H50" s="19">
        <v>500.0</v>
      </c>
      <c r="I50" s="19">
        <v>500.0</v>
      </c>
      <c r="J50" s="19">
        <v>500.0</v>
      </c>
      <c r="K50" s="19">
        <v>500.0</v>
      </c>
      <c r="L50" s="19">
        <v>500.0</v>
      </c>
      <c r="M50" s="19">
        <v>500.0</v>
      </c>
      <c r="N50" s="19">
        <v>500.0</v>
      </c>
      <c r="O50" s="19"/>
    </row>
    <row r="51" ht="15.75" customHeight="1">
      <c r="A51" s="13" t="s">
        <v>51</v>
      </c>
      <c r="B51" s="14">
        <f t="shared" si="15"/>
        <v>6000</v>
      </c>
      <c r="C51" s="14">
        <f t="shared" ref="C51:N51" si="16">SUM(C50)</f>
        <v>500</v>
      </c>
      <c r="D51" s="14">
        <f t="shared" si="16"/>
        <v>500</v>
      </c>
      <c r="E51" s="14">
        <f t="shared" si="16"/>
        <v>500</v>
      </c>
      <c r="F51" s="14">
        <f t="shared" si="16"/>
        <v>500</v>
      </c>
      <c r="G51" s="14">
        <f t="shared" si="16"/>
        <v>500</v>
      </c>
      <c r="H51" s="14">
        <f t="shared" si="16"/>
        <v>500</v>
      </c>
      <c r="I51" s="14">
        <f t="shared" si="16"/>
        <v>500</v>
      </c>
      <c r="J51" s="14">
        <f t="shared" si="16"/>
        <v>500</v>
      </c>
      <c r="K51" s="14">
        <f t="shared" si="16"/>
        <v>500</v>
      </c>
      <c r="L51" s="14">
        <f t="shared" si="16"/>
        <v>500</v>
      </c>
      <c r="M51" s="14">
        <f t="shared" si="16"/>
        <v>500</v>
      </c>
      <c r="N51" s="14">
        <f t="shared" si="16"/>
        <v>500</v>
      </c>
      <c r="O51" s="15"/>
    </row>
    <row r="52" ht="15.75" customHeight="1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ht="15.75" customHeight="1">
      <c r="A53" s="4" t="s">
        <v>52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ht="15.75" customHeight="1">
      <c r="A54" s="3" t="s">
        <v>53</v>
      </c>
      <c r="B54" s="12">
        <f t="shared" ref="B54:B58" si="17">SUM(C54:N54)</f>
        <v>5004</v>
      </c>
      <c r="C54" s="19">
        <v>417.0</v>
      </c>
      <c r="D54" s="19">
        <v>417.0</v>
      </c>
      <c r="E54" s="19">
        <v>417.0</v>
      </c>
      <c r="F54" s="19">
        <v>417.0</v>
      </c>
      <c r="G54" s="19">
        <v>417.0</v>
      </c>
      <c r="H54" s="19">
        <v>417.0</v>
      </c>
      <c r="I54" s="19">
        <v>417.0</v>
      </c>
      <c r="J54" s="19">
        <v>417.0</v>
      </c>
      <c r="K54" s="19">
        <v>417.0</v>
      </c>
      <c r="L54" s="19">
        <v>417.0</v>
      </c>
      <c r="M54" s="19">
        <v>417.0</v>
      </c>
      <c r="N54" s="19">
        <v>417.0</v>
      </c>
      <c r="O54" s="19"/>
    </row>
    <row r="55" ht="15.75" customHeight="1">
      <c r="A55" s="3" t="s">
        <v>54</v>
      </c>
      <c r="B55" s="12">
        <f t="shared" si="17"/>
        <v>3000</v>
      </c>
      <c r="C55" s="19">
        <v>250.0</v>
      </c>
      <c r="D55" s="19">
        <v>250.0</v>
      </c>
      <c r="E55" s="19">
        <v>250.0</v>
      </c>
      <c r="F55" s="19">
        <v>250.0</v>
      </c>
      <c r="G55" s="19">
        <v>250.0</v>
      </c>
      <c r="H55" s="19">
        <v>250.0</v>
      </c>
      <c r="I55" s="19">
        <v>250.0</v>
      </c>
      <c r="J55" s="19">
        <v>250.0</v>
      </c>
      <c r="K55" s="19">
        <v>250.0</v>
      </c>
      <c r="L55" s="19">
        <v>250.0</v>
      </c>
      <c r="M55" s="19">
        <v>250.0</v>
      </c>
      <c r="N55" s="19">
        <v>250.0</v>
      </c>
      <c r="O55" s="19"/>
    </row>
    <row r="56" ht="15.75" customHeight="1">
      <c r="A56" s="3" t="s">
        <v>55</v>
      </c>
      <c r="B56" s="12">
        <f t="shared" si="17"/>
        <v>3000</v>
      </c>
      <c r="C56" s="19">
        <v>250.0</v>
      </c>
      <c r="D56" s="19">
        <v>250.0</v>
      </c>
      <c r="E56" s="19">
        <v>250.0</v>
      </c>
      <c r="F56" s="19">
        <v>250.0</v>
      </c>
      <c r="G56" s="19">
        <v>250.0</v>
      </c>
      <c r="H56" s="19">
        <v>250.0</v>
      </c>
      <c r="I56" s="19">
        <v>250.0</v>
      </c>
      <c r="J56" s="19">
        <v>250.0</v>
      </c>
      <c r="K56" s="19">
        <v>250.0</v>
      </c>
      <c r="L56" s="19">
        <v>250.0</v>
      </c>
      <c r="M56" s="19">
        <v>250.0</v>
      </c>
      <c r="N56" s="19">
        <v>250.0</v>
      </c>
      <c r="O56" s="19"/>
    </row>
    <row r="57" ht="15.75" customHeight="1">
      <c r="A57" s="3" t="s">
        <v>56</v>
      </c>
      <c r="B57" s="12">
        <f t="shared" si="17"/>
        <v>2004</v>
      </c>
      <c r="C57" s="19">
        <v>167.0</v>
      </c>
      <c r="D57" s="19">
        <v>167.0</v>
      </c>
      <c r="E57" s="19">
        <v>167.0</v>
      </c>
      <c r="F57" s="19">
        <v>167.0</v>
      </c>
      <c r="G57" s="19">
        <v>167.0</v>
      </c>
      <c r="H57" s="19">
        <v>167.0</v>
      </c>
      <c r="I57" s="19">
        <v>167.0</v>
      </c>
      <c r="J57" s="19">
        <v>167.0</v>
      </c>
      <c r="K57" s="19">
        <v>167.0</v>
      </c>
      <c r="L57" s="19">
        <v>167.0</v>
      </c>
      <c r="M57" s="19">
        <v>167.0</v>
      </c>
      <c r="N57" s="19">
        <v>167.0</v>
      </c>
      <c r="O57" s="19"/>
    </row>
    <row r="58" ht="15.75" customHeight="1">
      <c r="A58" s="13" t="s">
        <v>57</v>
      </c>
      <c r="B58" s="14">
        <f t="shared" si="17"/>
        <v>13008</v>
      </c>
      <c r="C58" s="14">
        <f t="shared" ref="C58:N58" si="18">SUM(C54:C57)</f>
        <v>1084</v>
      </c>
      <c r="D58" s="14">
        <f t="shared" si="18"/>
        <v>1084</v>
      </c>
      <c r="E58" s="14">
        <f t="shared" si="18"/>
        <v>1084</v>
      </c>
      <c r="F58" s="14">
        <f t="shared" si="18"/>
        <v>1084</v>
      </c>
      <c r="G58" s="14">
        <f t="shared" si="18"/>
        <v>1084</v>
      </c>
      <c r="H58" s="14">
        <f t="shared" si="18"/>
        <v>1084</v>
      </c>
      <c r="I58" s="14">
        <f t="shared" si="18"/>
        <v>1084</v>
      </c>
      <c r="J58" s="14">
        <f t="shared" si="18"/>
        <v>1084</v>
      </c>
      <c r="K58" s="14">
        <f t="shared" si="18"/>
        <v>1084</v>
      </c>
      <c r="L58" s="14">
        <f t="shared" si="18"/>
        <v>1084</v>
      </c>
      <c r="M58" s="14">
        <f t="shared" si="18"/>
        <v>1084</v>
      </c>
      <c r="N58" s="14">
        <f t="shared" si="18"/>
        <v>1084</v>
      </c>
      <c r="O58" s="15"/>
    </row>
    <row r="59" ht="15.75" customHeight="1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ht="15.75" customHeight="1">
      <c r="A60" s="30" t="s">
        <v>58</v>
      </c>
      <c r="B60" s="31">
        <f>SUM(C60:N60)</f>
        <v>787620</v>
      </c>
      <c r="C60" s="31">
        <f t="shared" ref="C60:N60" si="19">C29+C35+C44+C47+C51+C58</f>
        <v>49045</v>
      </c>
      <c r="D60" s="31">
        <f t="shared" si="19"/>
        <v>49045</v>
      </c>
      <c r="E60" s="31">
        <f t="shared" si="19"/>
        <v>49045</v>
      </c>
      <c r="F60" s="31">
        <f t="shared" si="19"/>
        <v>71165</v>
      </c>
      <c r="G60" s="31">
        <f t="shared" si="19"/>
        <v>71165</v>
      </c>
      <c r="H60" s="31">
        <f t="shared" si="19"/>
        <v>71165</v>
      </c>
      <c r="I60" s="31">
        <f t="shared" si="19"/>
        <v>71165</v>
      </c>
      <c r="J60" s="31">
        <f t="shared" si="19"/>
        <v>71165</v>
      </c>
      <c r="K60" s="31">
        <f t="shared" si="19"/>
        <v>71165</v>
      </c>
      <c r="L60" s="31">
        <f t="shared" si="19"/>
        <v>71165</v>
      </c>
      <c r="M60" s="31">
        <f t="shared" si="19"/>
        <v>71165</v>
      </c>
      <c r="N60" s="31">
        <f t="shared" si="19"/>
        <v>71165</v>
      </c>
      <c r="O60" s="32"/>
    </row>
    <row r="61" ht="15.75" customHeight="1">
      <c r="A61" s="33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2"/>
    </row>
    <row r="62" ht="15.75" customHeight="1">
      <c r="A62" s="35" t="s">
        <v>59</v>
      </c>
      <c r="B62" s="36">
        <f>SUM(C62:N62)</f>
        <v>43649.56</v>
      </c>
      <c r="C62" s="36">
        <f t="shared" ref="C62:N62" si="20">C22-C60</f>
        <v>-2914.7</v>
      </c>
      <c r="D62" s="36">
        <f t="shared" si="20"/>
        <v>-1279.7</v>
      </c>
      <c r="E62" s="36">
        <f t="shared" si="20"/>
        <v>730.3</v>
      </c>
      <c r="F62" s="36">
        <f t="shared" si="20"/>
        <v>5345.42</v>
      </c>
      <c r="G62" s="36">
        <f t="shared" si="20"/>
        <v>6525.42</v>
      </c>
      <c r="H62" s="36">
        <f t="shared" si="20"/>
        <v>6075.42</v>
      </c>
      <c r="I62" s="36">
        <f t="shared" si="20"/>
        <v>4045.42</v>
      </c>
      <c r="J62" s="36">
        <f t="shared" si="20"/>
        <v>701.86</v>
      </c>
      <c r="K62" s="36">
        <f t="shared" si="20"/>
        <v>3981.86</v>
      </c>
      <c r="L62" s="36">
        <f t="shared" si="20"/>
        <v>8185.42</v>
      </c>
      <c r="M62" s="36">
        <f t="shared" si="20"/>
        <v>9805.42</v>
      </c>
      <c r="N62" s="36">
        <f t="shared" si="20"/>
        <v>2447.42</v>
      </c>
      <c r="O62" s="32"/>
    </row>
    <row r="63" ht="15.75" customHeight="1"/>
    <row r="64" ht="15.75" customHeight="1">
      <c r="A64" s="37" t="s">
        <v>60</v>
      </c>
      <c r="B64" s="38" t="s">
        <v>61</v>
      </c>
      <c r="C64" s="39" t="s">
        <v>5</v>
      </c>
      <c r="D64" s="39" t="s">
        <v>6</v>
      </c>
      <c r="E64" s="39" t="s">
        <v>7</v>
      </c>
      <c r="F64" s="39" t="s">
        <v>8</v>
      </c>
      <c r="G64" s="39" t="s">
        <v>9</v>
      </c>
      <c r="H64" s="39" t="s">
        <v>10</v>
      </c>
      <c r="I64" s="39" t="s">
        <v>11</v>
      </c>
      <c r="J64" s="39" t="s">
        <v>12</v>
      </c>
      <c r="K64" s="39" t="s">
        <v>13</v>
      </c>
      <c r="L64" s="39" t="s">
        <v>14</v>
      </c>
      <c r="M64" s="39" t="s">
        <v>15</v>
      </c>
      <c r="N64" s="40" t="s">
        <v>16</v>
      </c>
      <c r="O64" s="41"/>
    </row>
    <row r="65" ht="15.75" customHeight="1">
      <c r="A65" s="42" t="s">
        <v>62</v>
      </c>
      <c r="B65" s="43"/>
      <c r="C65" s="44">
        <v>250000.0</v>
      </c>
      <c r="D65" s="45">
        <f t="shared" ref="D65:N65" si="21">C66</f>
        <v>247085.3</v>
      </c>
      <c r="E65" s="45">
        <f t="shared" si="21"/>
        <v>245805.6</v>
      </c>
      <c r="F65" s="45">
        <f t="shared" si="21"/>
        <v>246535.9</v>
      </c>
      <c r="G65" s="45">
        <f t="shared" si="21"/>
        <v>251881.32</v>
      </c>
      <c r="H65" s="45">
        <f t="shared" si="21"/>
        <v>258406.74</v>
      </c>
      <c r="I65" s="45">
        <f t="shared" si="21"/>
        <v>264482.16</v>
      </c>
      <c r="J65" s="45">
        <f t="shared" si="21"/>
        <v>268527.58</v>
      </c>
      <c r="K65" s="45">
        <f t="shared" si="21"/>
        <v>269229.44</v>
      </c>
      <c r="L65" s="45">
        <f t="shared" si="21"/>
        <v>273211.3</v>
      </c>
      <c r="M65" s="45">
        <f t="shared" si="21"/>
        <v>281396.72</v>
      </c>
      <c r="N65" s="46">
        <f t="shared" si="21"/>
        <v>291202.14</v>
      </c>
    </row>
    <row r="66" ht="15.75" customHeight="1">
      <c r="A66" s="47" t="s">
        <v>63</v>
      </c>
      <c r="B66" s="48">
        <f>N66</f>
        <v>293649.56</v>
      </c>
      <c r="C66" s="49">
        <f t="shared" ref="C66:N66" si="22">C65+C62</f>
        <v>247085.3</v>
      </c>
      <c r="D66" s="49">
        <f t="shared" si="22"/>
        <v>245805.6</v>
      </c>
      <c r="E66" s="49">
        <f t="shared" si="22"/>
        <v>246535.9</v>
      </c>
      <c r="F66" s="49">
        <f t="shared" si="22"/>
        <v>251881.32</v>
      </c>
      <c r="G66" s="49">
        <f t="shared" si="22"/>
        <v>258406.74</v>
      </c>
      <c r="H66" s="49">
        <f t="shared" si="22"/>
        <v>264482.16</v>
      </c>
      <c r="I66" s="49">
        <f t="shared" si="22"/>
        <v>268527.58</v>
      </c>
      <c r="J66" s="49">
        <f t="shared" si="22"/>
        <v>269229.44</v>
      </c>
      <c r="K66" s="49">
        <f t="shared" si="22"/>
        <v>273211.3</v>
      </c>
      <c r="L66" s="49">
        <f t="shared" si="22"/>
        <v>281396.72</v>
      </c>
      <c r="M66" s="49">
        <f t="shared" si="22"/>
        <v>291202.14</v>
      </c>
      <c r="N66" s="49">
        <f t="shared" si="22"/>
        <v>293649.56</v>
      </c>
      <c r="O66" s="50"/>
    </row>
    <row r="67" ht="15.75" customHeight="1">
      <c r="A67" s="51"/>
      <c r="B67" s="52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0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43"/>
    <col customWidth="1" min="2" max="2" width="42.71"/>
    <col customWidth="1" min="3" max="14" width="8.0"/>
  </cols>
  <sheetData>
    <row r="1">
      <c r="A1" s="54" t="s">
        <v>64</v>
      </c>
      <c r="B1" s="55"/>
      <c r="C1" s="55"/>
    </row>
    <row r="2">
      <c r="A2" s="56" t="s">
        <v>65</v>
      </c>
      <c r="B2" s="56" t="s">
        <v>66</v>
      </c>
      <c r="C2" s="57" t="s">
        <v>5</v>
      </c>
      <c r="D2" s="57" t="s">
        <v>6</v>
      </c>
      <c r="E2" s="57" t="s">
        <v>7</v>
      </c>
      <c r="F2" s="57" t="s">
        <v>8</v>
      </c>
      <c r="G2" s="57" t="s">
        <v>9</v>
      </c>
      <c r="H2" s="57" t="s">
        <v>10</v>
      </c>
      <c r="I2" s="57" t="s">
        <v>11</v>
      </c>
      <c r="J2" s="57" t="s">
        <v>12</v>
      </c>
      <c r="K2" s="57" t="s">
        <v>13</v>
      </c>
      <c r="L2" s="57" t="s">
        <v>14</v>
      </c>
      <c r="M2" s="57" t="s">
        <v>15</v>
      </c>
      <c r="N2" s="57" t="s">
        <v>16</v>
      </c>
    </row>
    <row r="3">
      <c r="A3" s="55" t="s">
        <v>67</v>
      </c>
      <c r="B3" s="58">
        <v>80.0</v>
      </c>
      <c r="C3" s="59">
        <v>50.0</v>
      </c>
      <c r="D3" s="59">
        <v>55.0</v>
      </c>
      <c r="E3" s="59">
        <v>60.0</v>
      </c>
      <c r="F3" s="59">
        <v>65.0</v>
      </c>
      <c r="G3" s="59">
        <v>65.0</v>
      </c>
      <c r="H3" s="59">
        <v>65.0</v>
      </c>
      <c r="I3" s="59">
        <v>65.0</v>
      </c>
      <c r="J3" s="59">
        <v>65.0</v>
      </c>
      <c r="K3" s="59">
        <v>65.0</v>
      </c>
      <c r="L3" s="59">
        <v>65.0</v>
      </c>
      <c r="M3" s="59">
        <v>65.0</v>
      </c>
      <c r="N3" s="59">
        <v>65.0</v>
      </c>
    </row>
    <row r="4">
      <c r="A4" s="55" t="s">
        <v>68</v>
      </c>
      <c r="B4" s="58">
        <v>50.0</v>
      </c>
      <c r="C4" s="59">
        <v>100.0</v>
      </c>
      <c r="D4" s="59">
        <v>120.0</v>
      </c>
      <c r="E4" s="59">
        <v>140.0</v>
      </c>
      <c r="F4" s="59">
        <v>160.0</v>
      </c>
      <c r="G4" s="59">
        <v>160.0</v>
      </c>
      <c r="H4" s="59">
        <v>160.0</v>
      </c>
      <c r="I4" s="59">
        <v>160.0</v>
      </c>
      <c r="J4" s="59">
        <v>160.0</v>
      </c>
      <c r="K4" s="59">
        <v>160.0</v>
      </c>
      <c r="L4" s="59">
        <v>160.0</v>
      </c>
      <c r="M4" s="59">
        <v>160.0</v>
      </c>
      <c r="N4" s="59">
        <v>160.0</v>
      </c>
    </row>
    <row r="5">
      <c r="A5" s="55" t="s">
        <v>69</v>
      </c>
      <c r="B5" s="58">
        <v>80.0</v>
      </c>
      <c r="C5" s="59">
        <v>20.0</v>
      </c>
      <c r="D5" s="59">
        <v>22.0</v>
      </c>
      <c r="E5" s="59">
        <v>24.0</v>
      </c>
      <c r="F5" s="59">
        <v>26.0</v>
      </c>
      <c r="G5" s="59">
        <v>26.0</v>
      </c>
      <c r="H5" s="59">
        <v>26.0</v>
      </c>
      <c r="I5" s="59">
        <v>26.0</v>
      </c>
      <c r="J5" s="59">
        <v>26.0</v>
      </c>
      <c r="K5" s="59">
        <v>26.0</v>
      </c>
      <c r="L5" s="59">
        <v>26.0</v>
      </c>
      <c r="M5" s="59">
        <v>26.0</v>
      </c>
      <c r="N5" s="59">
        <v>26.0</v>
      </c>
    </row>
    <row r="6">
      <c r="A6" s="55" t="s">
        <v>70</v>
      </c>
      <c r="B6" s="58">
        <v>25.0</v>
      </c>
      <c r="C6" s="59">
        <v>15.0</v>
      </c>
      <c r="D6" s="59">
        <v>18.0</v>
      </c>
      <c r="E6" s="59">
        <v>20.0</v>
      </c>
      <c r="F6" s="59">
        <v>22.0</v>
      </c>
      <c r="G6" s="59">
        <v>22.0</v>
      </c>
      <c r="H6" s="59">
        <v>22.0</v>
      </c>
      <c r="I6" s="59">
        <v>22.0</v>
      </c>
      <c r="J6" s="59">
        <v>22.0</v>
      </c>
      <c r="K6" s="59">
        <v>22.0</v>
      </c>
      <c r="L6" s="59">
        <v>22.0</v>
      </c>
      <c r="M6" s="59">
        <v>22.0</v>
      </c>
      <c r="N6" s="59">
        <v>22.0</v>
      </c>
    </row>
    <row r="7">
      <c r="A7" s="55" t="s">
        <v>71</v>
      </c>
      <c r="B7" s="58">
        <v>400.0</v>
      </c>
      <c r="C7" s="59">
        <v>2.0</v>
      </c>
      <c r="D7" s="59">
        <v>2.0</v>
      </c>
      <c r="E7" s="59">
        <v>3.0</v>
      </c>
      <c r="F7" s="59">
        <v>3.0</v>
      </c>
      <c r="G7" s="59">
        <v>4.0</v>
      </c>
      <c r="H7" s="59">
        <v>4.0</v>
      </c>
      <c r="I7" s="59">
        <v>5.0</v>
      </c>
      <c r="J7" s="59">
        <v>5.0</v>
      </c>
      <c r="K7" s="59">
        <v>6.0</v>
      </c>
      <c r="L7" s="59">
        <v>6.0</v>
      </c>
      <c r="M7" s="59">
        <v>7.0</v>
      </c>
      <c r="N7" s="59">
        <v>8.0</v>
      </c>
    </row>
    <row r="8">
      <c r="A8" s="60" t="s">
        <v>72</v>
      </c>
      <c r="B8" s="55"/>
      <c r="C8" s="55">
        <f t="shared" ref="C8:N8" si="1">sum(C3:C7)</f>
        <v>187</v>
      </c>
      <c r="D8" s="55">
        <f t="shared" si="1"/>
        <v>217</v>
      </c>
      <c r="E8" s="55">
        <f t="shared" si="1"/>
        <v>247</v>
      </c>
      <c r="F8" s="55">
        <f t="shared" si="1"/>
        <v>276</v>
      </c>
      <c r="G8" s="55">
        <f t="shared" si="1"/>
        <v>277</v>
      </c>
      <c r="H8" s="55">
        <f t="shared" si="1"/>
        <v>277</v>
      </c>
      <c r="I8" s="55">
        <f t="shared" si="1"/>
        <v>278</v>
      </c>
      <c r="J8" s="55">
        <f t="shared" si="1"/>
        <v>278</v>
      </c>
      <c r="K8" s="55">
        <f t="shared" si="1"/>
        <v>279</v>
      </c>
      <c r="L8" s="55">
        <f t="shared" si="1"/>
        <v>279</v>
      </c>
      <c r="M8" s="55">
        <f t="shared" si="1"/>
        <v>280</v>
      </c>
      <c r="N8" s="55">
        <f t="shared" si="1"/>
        <v>281</v>
      </c>
    </row>
    <row r="9">
      <c r="A9" s="60" t="s">
        <v>18</v>
      </c>
      <c r="B9" s="61"/>
      <c r="C9" s="62">
        <f>sum((C3*B3)+(C4*B4)+(C5*B5)+(C6*B6)+(C7*B7))</f>
        <v>11775</v>
      </c>
      <c r="D9" s="62">
        <f>sum((D3*B3)+(D4*B4)+(D5*B5)+(D6*B6)+(D7*B7))</f>
        <v>13410</v>
      </c>
      <c r="E9" s="62">
        <f>sum((E3*B3)+(E4*B4)+(E5*B5)+(E6*B6)+(E7*B7))</f>
        <v>15420</v>
      </c>
      <c r="F9" s="62">
        <f>sum((F3*B3)+(F4*B4)+(F5*B5)+(F6*B6)+(F7*B7))</f>
        <v>17030</v>
      </c>
      <c r="G9" s="62">
        <f>sum((G3*B3)+(G4*B4)+(G5*B5)+(G6*B6)+(G7*B7))</f>
        <v>17430</v>
      </c>
      <c r="H9" s="62">
        <f>sum((H3*B3)+(H4*B4)+(H5*B5)+(H6*B6)+(H7*B7))</f>
        <v>17430</v>
      </c>
      <c r="I9" s="62">
        <f>sum((I3*B3)+(I4*B4)+(I5*B5)+(I6*B6)+(I7*B7))</f>
        <v>17830</v>
      </c>
      <c r="J9" s="62">
        <f>sum((J3*B3)+(J4*B4)+(J5*B5)+(J6*B6)+(J7*B7))</f>
        <v>17830</v>
      </c>
      <c r="K9" s="62">
        <f>sum((K3*B3)+(K4*B4)+(K5*B5)+(K6*B6)+(K7*B7))</f>
        <v>18230</v>
      </c>
      <c r="L9" s="62">
        <f>sum((L3*B3)+(L4*B4)+(L5*B5)+(L6*B6)+(L7*B7))</f>
        <v>18230</v>
      </c>
      <c r="M9" s="62">
        <f>sum((M3*B3)+(M4*B4)+(M5*B5)+(M6*B6)+(M7*B7))</f>
        <v>18630</v>
      </c>
      <c r="N9" s="62">
        <f>sum((N3*B3)+(N4*B4)+(N5*B5)+(N6*B6)+(N7*B7))</f>
        <v>19030</v>
      </c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A10" s="55"/>
      <c r="B10" s="55"/>
      <c r="C10" s="55"/>
    </row>
    <row r="11">
      <c r="A11" s="63" t="s">
        <v>73</v>
      </c>
      <c r="B11" s="64"/>
      <c r="C11" s="65" t="s">
        <v>5</v>
      </c>
      <c r="D11" s="65" t="s">
        <v>6</v>
      </c>
      <c r="E11" s="65" t="s">
        <v>7</v>
      </c>
      <c r="F11" s="65" t="s">
        <v>8</v>
      </c>
      <c r="G11" s="65" t="s">
        <v>9</v>
      </c>
      <c r="H11" s="65" t="s">
        <v>10</v>
      </c>
      <c r="I11" s="65" t="s">
        <v>11</v>
      </c>
      <c r="J11" s="65" t="s">
        <v>12</v>
      </c>
      <c r="K11" s="65" t="s">
        <v>13</v>
      </c>
      <c r="L11" s="65" t="s">
        <v>14</v>
      </c>
      <c r="M11" s="65" t="s">
        <v>15</v>
      </c>
      <c r="N11" s="65" t="s">
        <v>16</v>
      </c>
    </row>
    <row r="12">
      <c r="A12" s="66" t="s">
        <v>74</v>
      </c>
      <c r="B12" s="67" t="s">
        <v>75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</row>
    <row r="13">
      <c r="A13" s="68" t="s">
        <v>76</v>
      </c>
      <c r="B13" s="69" t="s">
        <v>77</v>
      </c>
      <c r="C13" s="70">
        <v>0.0</v>
      </c>
      <c r="D13" s="70">
        <v>0.0</v>
      </c>
      <c r="E13" s="70">
        <v>0.0</v>
      </c>
      <c r="F13" s="70">
        <v>30.0</v>
      </c>
      <c r="G13" s="70">
        <v>30.0</v>
      </c>
      <c r="H13" s="70">
        <v>30.0</v>
      </c>
      <c r="I13" s="70">
        <v>30.0</v>
      </c>
      <c r="J13" s="70">
        <v>30.0</v>
      </c>
      <c r="K13" s="70">
        <v>30.0</v>
      </c>
      <c r="L13" s="70">
        <v>30.0</v>
      </c>
      <c r="M13" s="70">
        <v>30.0</v>
      </c>
      <c r="N13" s="70">
        <v>12.0</v>
      </c>
    </row>
    <row r="14">
      <c r="A14" s="69" t="s">
        <v>78</v>
      </c>
      <c r="B14" s="69" t="s">
        <v>79</v>
      </c>
      <c r="C14" s="71">
        <v>9.0</v>
      </c>
      <c r="D14" s="71">
        <v>9.0</v>
      </c>
      <c r="E14" s="71">
        <v>9.0</v>
      </c>
      <c r="F14" s="71">
        <v>9.0</v>
      </c>
      <c r="G14" s="71">
        <v>9.0</v>
      </c>
      <c r="H14" s="71">
        <v>9.0</v>
      </c>
      <c r="I14" s="71">
        <v>9.0</v>
      </c>
      <c r="J14" s="71">
        <v>9.0</v>
      </c>
      <c r="K14" s="71">
        <v>9.0</v>
      </c>
      <c r="L14" s="71">
        <v>9.0</v>
      </c>
      <c r="M14" s="71">
        <v>9.0</v>
      </c>
      <c r="N14" s="71">
        <v>9.0</v>
      </c>
    </row>
    <row r="15">
      <c r="A15" s="69" t="s">
        <v>80</v>
      </c>
      <c r="B15" s="69" t="s">
        <v>81</v>
      </c>
      <c r="C15" s="72">
        <v>65.0</v>
      </c>
      <c r="D15" s="72">
        <v>65.0</v>
      </c>
      <c r="E15" s="72">
        <v>65.0</v>
      </c>
      <c r="F15" s="72">
        <v>65.0</v>
      </c>
      <c r="G15" s="72">
        <v>65.0</v>
      </c>
      <c r="H15" s="72">
        <v>65.0</v>
      </c>
      <c r="I15" s="72">
        <v>65.0</v>
      </c>
      <c r="J15" s="72">
        <v>65.0</v>
      </c>
      <c r="K15" s="72">
        <v>65.0</v>
      </c>
      <c r="L15" s="72">
        <v>65.0</v>
      </c>
      <c r="M15" s="72">
        <v>65.0</v>
      </c>
      <c r="N15" s="72">
        <v>65.0</v>
      </c>
    </row>
    <row r="16">
      <c r="A16" s="69" t="s">
        <v>82</v>
      </c>
      <c r="B16" s="69" t="s">
        <v>83</v>
      </c>
      <c r="C16" s="71">
        <v>3.0</v>
      </c>
      <c r="D16" s="71">
        <v>3.0</v>
      </c>
      <c r="E16" s="71">
        <v>3.0</v>
      </c>
      <c r="F16" s="71">
        <v>3.0</v>
      </c>
      <c r="G16" s="71">
        <v>3.0</v>
      </c>
      <c r="H16" s="71">
        <v>3.0</v>
      </c>
      <c r="I16" s="71">
        <v>3.0</v>
      </c>
      <c r="J16" s="71">
        <v>3.0</v>
      </c>
      <c r="K16" s="71">
        <v>3.0</v>
      </c>
      <c r="L16" s="71">
        <v>3.0</v>
      </c>
      <c r="M16" s="71">
        <v>3.0</v>
      </c>
      <c r="N16" s="71">
        <v>3.0</v>
      </c>
    </row>
    <row r="17">
      <c r="A17" s="69" t="s">
        <v>84</v>
      </c>
      <c r="B17" s="69" t="s">
        <v>85</v>
      </c>
      <c r="C17" s="71">
        <v>1.0</v>
      </c>
      <c r="D17" s="71">
        <v>1.0</v>
      </c>
      <c r="E17" s="71">
        <v>1.0</v>
      </c>
      <c r="F17" s="71">
        <v>1.0</v>
      </c>
      <c r="G17" s="71">
        <v>1.0</v>
      </c>
      <c r="H17" s="71">
        <v>1.0</v>
      </c>
      <c r="I17" s="71">
        <v>1.0</v>
      </c>
      <c r="J17" s="71">
        <v>1.0</v>
      </c>
      <c r="K17" s="71">
        <v>1.0</v>
      </c>
      <c r="L17" s="71">
        <v>1.0</v>
      </c>
      <c r="M17" s="71">
        <v>1.0</v>
      </c>
      <c r="N17" s="71">
        <v>1.0</v>
      </c>
    </row>
    <row r="18">
      <c r="A18" s="69" t="s">
        <v>86</v>
      </c>
      <c r="B18" s="69" t="s">
        <v>87</v>
      </c>
      <c r="C18" s="73">
        <v>0.1</v>
      </c>
      <c r="D18" s="73">
        <v>0.1</v>
      </c>
      <c r="E18" s="73">
        <v>0.1</v>
      </c>
      <c r="F18" s="73">
        <v>0.1</v>
      </c>
      <c r="G18" s="73">
        <v>0.1</v>
      </c>
      <c r="H18" s="73">
        <v>0.1</v>
      </c>
      <c r="I18" s="73">
        <v>0.1</v>
      </c>
      <c r="J18" s="73">
        <v>0.1</v>
      </c>
      <c r="K18" s="73">
        <v>0.1</v>
      </c>
      <c r="L18" s="73">
        <v>0.1</v>
      </c>
      <c r="M18" s="73">
        <v>0.1</v>
      </c>
      <c r="N18" s="73">
        <v>0.1</v>
      </c>
    </row>
    <row r="19">
      <c r="A19" s="69" t="s">
        <v>88</v>
      </c>
      <c r="B19" s="69" t="s">
        <v>89</v>
      </c>
      <c r="C19" s="74">
        <v>0.3</v>
      </c>
      <c r="D19" s="74">
        <v>0.3</v>
      </c>
      <c r="E19" s="74">
        <v>0.3</v>
      </c>
      <c r="F19" s="74">
        <v>0.3</v>
      </c>
      <c r="G19" s="74">
        <v>0.3</v>
      </c>
      <c r="H19" s="74">
        <v>0.3</v>
      </c>
      <c r="I19" s="74">
        <v>0.3</v>
      </c>
      <c r="J19" s="74">
        <v>0.3</v>
      </c>
      <c r="K19" s="74">
        <v>0.3</v>
      </c>
      <c r="L19" s="74">
        <v>0.3</v>
      </c>
      <c r="M19" s="74">
        <v>0.3</v>
      </c>
      <c r="N19" s="74">
        <v>0.3</v>
      </c>
    </row>
    <row r="20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</row>
    <row r="21">
      <c r="A21" s="66" t="s">
        <v>90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</row>
    <row r="22">
      <c r="A22" s="68" t="s">
        <v>91</v>
      </c>
      <c r="B22" s="55"/>
      <c r="C22" s="75">
        <f t="shared" ref="C22:N22" si="2">C13*C14</f>
        <v>0</v>
      </c>
      <c r="D22" s="75">
        <f t="shared" si="2"/>
        <v>0</v>
      </c>
      <c r="E22" s="75">
        <f t="shared" si="2"/>
        <v>0</v>
      </c>
      <c r="F22" s="75">
        <f t="shared" si="2"/>
        <v>270</v>
      </c>
      <c r="G22" s="75">
        <f t="shared" si="2"/>
        <v>270</v>
      </c>
      <c r="H22" s="75">
        <f t="shared" si="2"/>
        <v>270</v>
      </c>
      <c r="I22" s="75">
        <f t="shared" si="2"/>
        <v>270</v>
      </c>
      <c r="J22" s="75">
        <f t="shared" si="2"/>
        <v>270</v>
      </c>
      <c r="K22" s="75">
        <f t="shared" si="2"/>
        <v>270</v>
      </c>
      <c r="L22" s="75">
        <f t="shared" si="2"/>
        <v>270</v>
      </c>
      <c r="M22" s="75">
        <f t="shared" si="2"/>
        <v>270</v>
      </c>
      <c r="N22" s="75">
        <f t="shared" si="2"/>
        <v>108</v>
      </c>
    </row>
    <row r="23">
      <c r="A23" s="69" t="s">
        <v>92</v>
      </c>
      <c r="B23" s="55"/>
      <c r="C23" s="76">
        <f t="shared" ref="C23:N23" si="3">C13*C14*C15</f>
        <v>0</v>
      </c>
      <c r="D23" s="76">
        <f t="shared" si="3"/>
        <v>0</v>
      </c>
      <c r="E23" s="76">
        <f t="shared" si="3"/>
        <v>0</v>
      </c>
      <c r="F23" s="76">
        <f t="shared" si="3"/>
        <v>17550</v>
      </c>
      <c r="G23" s="76">
        <f t="shared" si="3"/>
        <v>17550</v>
      </c>
      <c r="H23" s="76">
        <f t="shared" si="3"/>
        <v>17550</v>
      </c>
      <c r="I23" s="76">
        <f t="shared" si="3"/>
        <v>17550</v>
      </c>
      <c r="J23" s="76">
        <f t="shared" si="3"/>
        <v>17550</v>
      </c>
      <c r="K23" s="76">
        <f t="shared" si="3"/>
        <v>17550</v>
      </c>
      <c r="L23" s="76">
        <f t="shared" si="3"/>
        <v>17550</v>
      </c>
      <c r="M23" s="76">
        <f t="shared" si="3"/>
        <v>17550</v>
      </c>
      <c r="N23" s="76">
        <f t="shared" si="3"/>
        <v>7020</v>
      </c>
    </row>
    <row r="24">
      <c r="A24" s="69" t="s">
        <v>93</v>
      </c>
      <c r="B24" s="55"/>
      <c r="C24" s="72">
        <f t="shared" ref="C24:N24" si="4">C23*C18</f>
        <v>0</v>
      </c>
      <c r="D24" s="72">
        <f t="shared" si="4"/>
        <v>0</v>
      </c>
      <c r="E24" s="72">
        <f t="shared" si="4"/>
        <v>0</v>
      </c>
      <c r="F24" s="72">
        <f t="shared" si="4"/>
        <v>1755</v>
      </c>
      <c r="G24" s="72">
        <f t="shared" si="4"/>
        <v>1755</v>
      </c>
      <c r="H24" s="72">
        <f t="shared" si="4"/>
        <v>1755</v>
      </c>
      <c r="I24" s="72">
        <f t="shared" si="4"/>
        <v>1755</v>
      </c>
      <c r="J24" s="72">
        <f t="shared" si="4"/>
        <v>1755</v>
      </c>
      <c r="K24" s="72">
        <f t="shared" si="4"/>
        <v>1755</v>
      </c>
      <c r="L24" s="72">
        <f t="shared" si="4"/>
        <v>1755</v>
      </c>
      <c r="M24" s="72">
        <f t="shared" si="4"/>
        <v>1755</v>
      </c>
      <c r="N24" s="72">
        <f t="shared" si="4"/>
        <v>702</v>
      </c>
    </row>
    <row r="25">
      <c r="A25" s="69" t="s">
        <v>94</v>
      </c>
      <c r="B25" s="55"/>
      <c r="C25" s="72">
        <f t="shared" ref="C25:N25" si="5">C23*C19</f>
        <v>0</v>
      </c>
      <c r="D25" s="72">
        <f t="shared" si="5"/>
        <v>0</v>
      </c>
      <c r="E25" s="72">
        <f t="shared" si="5"/>
        <v>0</v>
      </c>
      <c r="F25" s="72">
        <f t="shared" si="5"/>
        <v>5265</v>
      </c>
      <c r="G25" s="72">
        <f t="shared" si="5"/>
        <v>5265</v>
      </c>
      <c r="H25" s="72">
        <f t="shared" si="5"/>
        <v>5265</v>
      </c>
      <c r="I25" s="72">
        <f t="shared" si="5"/>
        <v>5265</v>
      </c>
      <c r="J25" s="72">
        <f t="shared" si="5"/>
        <v>5265</v>
      </c>
      <c r="K25" s="72">
        <f t="shared" si="5"/>
        <v>5265</v>
      </c>
      <c r="L25" s="72">
        <f t="shared" si="5"/>
        <v>5265</v>
      </c>
      <c r="M25" s="72">
        <f t="shared" si="5"/>
        <v>5265</v>
      </c>
      <c r="N25" s="72">
        <f t="shared" si="5"/>
        <v>2106</v>
      </c>
    </row>
    <row r="26">
      <c r="A26" s="69" t="s">
        <v>95</v>
      </c>
      <c r="B26" s="55"/>
      <c r="C26" s="77">
        <f t="shared" ref="C26:N26" si="6">C23-C24-C25</f>
        <v>0</v>
      </c>
      <c r="D26" s="77">
        <f t="shared" si="6"/>
        <v>0</v>
      </c>
      <c r="E26" s="77">
        <f t="shared" si="6"/>
        <v>0</v>
      </c>
      <c r="F26" s="77">
        <f t="shared" si="6"/>
        <v>10530</v>
      </c>
      <c r="G26" s="77">
        <f t="shared" si="6"/>
        <v>10530</v>
      </c>
      <c r="H26" s="77">
        <f t="shared" si="6"/>
        <v>10530</v>
      </c>
      <c r="I26" s="77">
        <f t="shared" si="6"/>
        <v>10530</v>
      </c>
      <c r="J26" s="77">
        <f t="shared" si="6"/>
        <v>10530</v>
      </c>
      <c r="K26" s="77">
        <f t="shared" si="6"/>
        <v>10530</v>
      </c>
      <c r="L26" s="77">
        <f t="shared" si="6"/>
        <v>10530</v>
      </c>
      <c r="M26" s="77">
        <f t="shared" si="6"/>
        <v>10530</v>
      </c>
      <c r="N26" s="77">
        <f t="shared" si="6"/>
        <v>4212</v>
      </c>
    </row>
    <row r="27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</row>
    <row r="28">
      <c r="A28" s="66" t="s">
        <v>96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</row>
    <row r="29">
      <c r="A29" s="69" t="s">
        <v>97</v>
      </c>
      <c r="B29" s="55"/>
      <c r="C29" s="78">
        <f t="shared" ref="C29:N29" si="7">C16+C17</f>
        <v>4</v>
      </c>
      <c r="D29" s="78">
        <f t="shared" si="7"/>
        <v>4</v>
      </c>
      <c r="E29" s="78">
        <f t="shared" si="7"/>
        <v>4</v>
      </c>
      <c r="F29" s="78">
        <f t="shared" si="7"/>
        <v>4</v>
      </c>
      <c r="G29" s="78">
        <f t="shared" si="7"/>
        <v>4</v>
      </c>
      <c r="H29" s="78">
        <f t="shared" si="7"/>
        <v>4</v>
      </c>
      <c r="I29" s="78">
        <f t="shared" si="7"/>
        <v>4</v>
      </c>
      <c r="J29" s="78">
        <f t="shared" si="7"/>
        <v>4</v>
      </c>
      <c r="K29" s="78">
        <f t="shared" si="7"/>
        <v>4</v>
      </c>
      <c r="L29" s="78">
        <f t="shared" si="7"/>
        <v>4</v>
      </c>
      <c r="M29" s="78">
        <f t="shared" si="7"/>
        <v>4</v>
      </c>
      <c r="N29" s="78">
        <f t="shared" si="7"/>
        <v>4</v>
      </c>
    </row>
    <row r="30">
      <c r="A30" s="68" t="s">
        <v>98</v>
      </c>
      <c r="B30" s="55"/>
      <c r="C30" s="75">
        <f t="shared" ref="C30:N30" si="8">C13*C29</f>
        <v>0</v>
      </c>
      <c r="D30" s="75">
        <f t="shared" si="8"/>
        <v>0</v>
      </c>
      <c r="E30" s="75">
        <f t="shared" si="8"/>
        <v>0</v>
      </c>
      <c r="F30" s="75">
        <f t="shared" si="8"/>
        <v>120</v>
      </c>
      <c r="G30" s="75">
        <f t="shared" si="8"/>
        <v>120</v>
      </c>
      <c r="H30" s="75">
        <f t="shared" si="8"/>
        <v>120</v>
      </c>
      <c r="I30" s="75">
        <f t="shared" si="8"/>
        <v>120</v>
      </c>
      <c r="J30" s="75">
        <f t="shared" si="8"/>
        <v>120</v>
      </c>
      <c r="K30" s="75">
        <f t="shared" si="8"/>
        <v>120</v>
      </c>
      <c r="L30" s="75">
        <f t="shared" si="8"/>
        <v>120</v>
      </c>
      <c r="M30" s="75">
        <f t="shared" si="8"/>
        <v>120</v>
      </c>
      <c r="N30" s="75">
        <f t="shared" si="8"/>
        <v>48</v>
      </c>
    </row>
    <row r="31">
      <c r="A31" s="69" t="s">
        <v>99</v>
      </c>
      <c r="B31" s="55"/>
      <c r="C31" s="79">
        <f t="shared" ref="C31:N31" si="9">C30/160</f>
        <v>0</v>
      </c>
      <c r="D31" s="79">
        <f t="shared" si="9"/>
        <v>0</v>
      </c>
      <c r="E31" s="79">
        <f t="shared" si="9"/>
        <v>0</v>
      </c>
      <c r="F31" s="79">
        <f t="shared" si="9"/>
        <v>0.75</v>
      </c>
      <c r="G31" s="79">
        <f t="shared" si="9"/>
        <v>0.75</v>
      </c>
      <c r="H31" s="79">
        <f t="shared" si="9"/>
        <v>0.75</v>
      </c>
      <c r="I31" s="79">
        <f t="shared" si="9"/>
        <v>0.75</v>
      </c>
      <c r="J31" s="79">
        <f t="shared" si="9"/>
        <v>0.75</v>
      </c>
      <c r="K31" s="79">
        <f t="shared" si="9"/>
        <v>0.75</v>
      </c>
      <c r="L31" s="79">
        <f t="shared" si="9"/>
        <v>0.75</v>
      </c>
      <c r="M31" s="79">
        <f t="shared" si="9"/>
        <v>0.75</v>
      </c>
      <c r="N31" s="79">
        <f t="shared" si="9"/>
        <v>0.3</v>
      </c>
    </row>
    <row r="32">
      <c r="A32" s="69" t="s">
        <v>100</v>
      </c>
      <c r="B32" s="55"/>
      <c r="C32" s="76" t="str">
        <f t="shared" ref="C32:N32" si="10">C26/C31</f>
        <v>#DIV/0!</v>
      </c>
      <c r="D32" s="76" t="str">
        <f t="shared" si="10"/>
        <v>#DIV/0!</v>
      </c>
      <c r="E32" s="76" t="str">
        <f t="shared" si="10"/>
        <v>#DIV/0!</v>
      </c>
      <c r="F32" s="76">
        <f t="shared" si="10"/>
        <v>14040</v>
      </c>
      <c r="G32" s="76">
        <f t="shared" si="10"/>
        <v>14040</v>
      </c>
      <c r="H32" s="76">
        <f t="shared" si="10"/>
        <v>14040</v>
      </c>
      <c r="I32" s="76">
        <f t="shared" si="10"/>
        <v>14040</v>
      </c>
      <c r="J32" s="76">
        <f t="shared" si="10"/>
        <v>14040</v>
      </c>
      <c r="K32" s="76">
        <f t="shared" si="10"/>
        <v>14040</v>
      </c>
      <c r="L32" s="76">
        <f t="shared" si="10"/>
        <v>14040</v>
      </c>
      <c r="M32" s="76">
        <f t="shared" si="10"/>
        <v>14040</v>
      </c>
      <c r="N32" s="76">
        <f t="shared" si="10"/>
        <v>14040</v>
      </c>
    </row>
    <row r="33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</row>
    <row r="34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</row>
    <row r="35">
      <c r="A35" s="80" t="s">
        <v>101</v>
      </c>
      <c r="B35" s="81"/>
      <c r="C35" s="82" t="s">
        <v>5</v>
      </c>
      <c r="D35" s="82" t="s">
        <v>6</v>
      </c>
      <c r="E35" s="82" t="s">
        <v>7</v>
      </c>
      <c r="F35" s="82" t="s">
        <v>8</v>
      </c>
      <c r="G35" s="82" t="s">
        <v>9</v>
      </c>
      <c r="H35" s="82" t="s">
        <v>10</v>
      </c>
      <c r="I35" s="82" t="s">
        <v>11</v>
      </c>
      <c r="J35" s="82" t="s">
        <v>12</v>
      </c>
      <c r="K35" s="82" t="s">
        <v>13</v>
      </c>
      <c r="L35" s="82" t="s">
        <v>14</v>
      </c>
      <c r="M35" s="82" t="s">
        <v>15</v>
      </c>
      <c r="N35" s="82" t="s">
        <v>16</v>
      </c>
    </row>
    <row r="36">
      <c r="A36" s="66" t="s">
        <v>74</v>
      </c>
      <c r="B36" s="67" t="s">
        <v>75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</row>
    <row r="37">
      <c r="A37" s="68" t="s">
        <v>102</v>
      </c>
      <c r="B37" s="69" t="s">
        <v>103</v>
      </c>
      <c r="C37" s="70">
        <v>0.0</v>
      </c>
      <c r="D37" s="70">
        <v>0.0</v>
      </c>
      <c r="E37" s="70">
        <v>0.0</v>
      </c>
      <c r="F37" s="70">
        <v>8.0</v>
      </c>
      <c r="G37" s="70">
        <v>8.0</v>
      </c>
      <c r="H37" s="70">
        <v>8.0</v>
      </c>
      <c r="I37" s="70">
        <v>8.0</v>
      </c>
      <c r="J37" s="70">
        <v>8.0</v>
      </c>
      <c r="K37" s="70">
        <v>8.0</v>
      </c>
      <c r="L37" s="70">
        <v>8.0</v>
      </c>
      <c r="M37" s="70">
        <v>8.0</v>
      </c>
      <c r="N37" s="70">
        <v>8.0</v>
      </c>
    </row>
    <row r="38">
      <c r="A38" s="69" t="s">
        <v>104</v>
      </c>
      <c r="B38" s="69" t="s">
        <v>105</v>
      </c>
      <c r="C38" s="71">
        <v>11.0</v>
      </c>
      <c r="D38" s="71">
        <v>11.0</v>
      </c>
      <c r="E38" s="71">
        <v>11.0</v>
      </c>
      <c r="F38" s="71">
        <v>11.0</v>
      </c>
      <c r="G38" s="71">
        <v>11.0</v>
      </c>
      <c r="H38" s="71">
        <v>11.0</v>
      </c>
      <c r="I38" s="71">
        <v>11.0</v>
      </c>
      <c r="J38" s="71">
        <v>11.0</v>
      </c>
      <c r="K38" s="71">
        <v>11.0</v>
      </c>
      <c r="L38" s="71">
        <v>11.0</v>
      </c>
      <c r="M38" s="71">
        <v>11.0</v>
      </c>
      <c r="N38" s="71">
        <v>11.0</v>
      </c>
    </row>
    <row r="39">
      <c r="A39" s="69" t="s">
        <v>106</v>
      </c>
      <c r="B39" s="69" t="s">
        <v>107</v>
      </c>
      <c r="C39" s="72">
        <v>65.0</v>
      </c>
      <c r="D39" s="72">
        <v>65.0</v>
      </c>
      <c r="E39" s="72">
        <v>65.0</v>
      </c>
      <c r="F39" s="72">
        <v>65.0</v>
      </c>
      <c r="G39" s="72">
        <v>65.0</v>
      </c>
      <c r="H39" s="72">
        <v>65.0</v>
      </c>
      <c r="I39" s="72">
        <v>65.0</v>
      </c>
      <c r="J39" s="72">
        <v>65.0</v>
      </c>
      <c r="K39" s="72">
        <v>65.0</v>
      </c>
      <c r="L39" s="72">
        <v>65.0</v>
      </c>
      <c r="M39" s="72">
        <v>65.0</v>
      </c>
      <c r="N39" s="72">
        <v>65.0</v>
      </c>
    </row>
    <row r="40">
      <c r="A40" s="69" t="s">
        <v>108</v>
      </c>
      <c r="B40" s="69" t="s">
        <v>109</v>
      </c>
      <c r="C40" s="71">
        <v>4.0</v>
      </c>
      <c r="D40" s="71">
        <v>4.0</v>
      </c>
      <c r="E40" s="71">
        <v>4.0</v>
      </c>
      <c r="F40" s="71">
        <v>4.0</v>
      </c>
      <c r="G40" s="71">
        <v>4.0</v>
      </c>
      <c r="H40" s="71">
        <v>4.0</v>
      </c>
      <c r="I40" s="71">
        <v>4.0</v>
      </c>
      <c r="J40" s="71">
        <v>4.0</v>
      </c>
      <c r="K40" s="71">
        <v>4.0</v>
      </c>
      <c r="L40" s="71">
        <v>4.0</v>
      </c>
      <c r="M40" s="71">
        <v>4.0</v>
      </c>
      <c r="N40" s="71">
        <v>4.0</v>
      </c>
    </row>
    <row r="41">
      <c r="A41" s="69" t="s">
        <v>110</v>
      </c>
      <c r="B41" s="69" t="s">
        <v>111</v>
      </c>
      <c r="C41" s="71">
        <v>1.5</v>
      </c>
      <c r="D41" s="71">
        <v>1.5</v>
      </c>
      <c r="E41" s="71">
        <v>1.5</v>
      </c>
      <c r="F41" s="71">
        <v>1.5</v>
      </c>
      <c r="G41" s="71">
        <v>1.5</v>
      </c>
      <c r="H41" s="71">
        <v>1.5</v>
      </c>
      <c r="I41" s="71">
        <v>1.5</v>
      </c>
      <c r="J41" s="71">
        <v>1.5</v>
      </c>
      <c r="K41" s="71">
        <v>1.5</v>
      </c>
      <c r="L41" s="71">
        <v>1.5</v>
      </c>
      <c r="M41" s="71">
        <v>1.5</v>
      </c>
      <c r="N41" s="71">
        <v>1.5</v>
      </c>
    </row>
    <row r="42">
      <c r="A42" s="69" t="s">
        <v>86</v>
      </c>
      <c r="B42" s="69" t="s">
        <v>87</v>
      </c>
      <c r="C42" s="74">
        <v>0.3</v>
      </c>
      <c r="D42" s="74">
        <v>0.3</v>
      </c>
      <c r="E42" s="74">
        <v>0.3</v>
      </c>
      <c r="F42" s="74">
        <v>0.3</v>
      </c>
      <c r="G42" s="74">
        <v>0.3</v>
      </c>
      <c r="H42" s="74">
        <v>0.3</v>
      </c>
      <c r="I42" s="74">
        <v>0.3</v>
      </c>
      <c r="J42" s="74">
        <v>0.3</v>
      </c>
      <c r="K42" s="74">
        <v>0.3</v>
      </c>
      <c r="L42" s="74">
        <v>0.3</v>
      </c>
      <c r="M42" s="74">
        <v>0.3</v>
      </c>
      <c r="N42" s="74">
        <v>0.3</v>
      </c>
    </row>
    <row r="43">
      <c r="A43" s="69" t="s">
        <v>88</v>
      </c>
      <c r="B43" s="69" t="s">
        <v>112</v>
      </c>
      <c r="C43" s="74">
        <v>0.3</v>
      </c>
      <c r="D43" s="74">
        <v>0.3</v>
      </c>
      <c r="E43" s="74">
        <v>0.3</v>
      </c>
      <c r="F43" s="74">
        <v>0.3</v>
      </c>
      <c r="G43" s="74">
        <v>0.3</v>
      </c>
      <c r="H43" s="74">
        <v>0.3</v>
      </c>
      <c r="I43" s="74">
        <v>0.3</v>
      </c>
      <c r="J43" s="74">
        <v>0.3</v>
      </c>
      <c r="K43" s="74">
        <v>0.3</v>
      </c>
      <c r="L43" s="74">
        <v>0.3</v>
      </c>
      <c r="M43" s="74">
        <v>0.3</v>
      </c>
      <c r="N43" s="74">
        <v>0.3</v>
      </c>
    </row>
    <row r="44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</row>
    <row r="45">
      <c r="A45" s="66" t="s">
        <v>90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A46" s="68" t="s">
        <v>113</v>
      </c>
      <c r="B46" s="55"/>
      <c r="C46" s="75">
        <f t="shared" ref="C46:N46" si="11">C37*C38</f>
        <v>0</v>
      </c>
      <c r="D46" s="75">
        <f t="shared" si="11"/>
        <v>0</v>
      </c>
      <c r="E46" s="75">
        <f t="shared" si="11"/>
        <v>0</v>
      </c>
      <c r="F46" s="75">
        <f t="shared" si="11"/>
        <v>88</v>
      </c>
      <c r="G46" s="75">
        <f t="shared" si="11"/>
        <v>88</v>
      </c>
      <c r="H46" s="75">
        <f t="shared" si="11"/>
        <v>88</v>
      </c>
      <c r="I46" s="75">
        <f t="shared" si="11"/>
        <v>88</v>
      </c>
      <c r="J46" s="75">
        <f t="shared" si="11"/>
        <v>88</v>
      </c>
      <c r="K46" s="75">
        <f t="shared" si="11"/>
        <v>88</v>
      </c>
      <c r="L46" s="75">
        <f t="shared" si="11"/>
        <v>88</v>
      </c>
      <c r="M46" s="75">
        <f t="shared" si="11"/>
        <v>88</v>
      </c>
      <c r="N46" s="75">
        <f t="shared" si="11"/>
        <v>88</v>
      </c>
    </row>
    <row r="47">
      <c r="A47" s="69" t="s">
        <v>92</v>
      </c>
      <c r="B47" s="55"/>
      <c r="C47" s="76">
        <f t="shared" ref="C47:N47" si="12">C37*C38*C39</f>
        <v>0</v>
      </c>
      <c r="D47" s="76">
        <f t="shared" si="12"/>
        <v>0</v>
      </c>
      <c r="E47" s="76">
        <f t="shared" si="12"/>
        <v>0</v>
      </c>
      <c r="F47" s="76">
        <f t="shared" si="12"/>
        <v>5720</v>
      </c>
      <c r="G47" s="76">
        <f t="shared" si="12"/>
        <v>5720</v>
      </c>
      <c r="H47" s="76">
        <f t="shared" si="12"/>
        <v>5720</v>
      </c>
      <c r="I47" s="76">
        <f t="shared" si="12"/>
        <v>5720</v>
      </c>
      <c r="J47" s="76">
        <f t="shared" si="12"/>
        <v>5720</v>
      </c>
      <c r="K47" s="76">
        <f t="shared" si="12"/>
        <v>5720</v>
      </c>
      <c r="L47" s="76">
        <f t="shared" si="12"/>
        <v>5720</v>
      </c>
      <c r="M47" s="76">
        <f t="shared" si="12"/>
        <v>5720</v>
      </c>
      <c r="N47" s="76">
        <f t="shared" si="12"/>
        <v>5720</v>
      </c>
    </row>
    <row r="48">
      <c r="A48" s="69" t="s">
        <v>93</v>
      </c>
      <c r="B48" s="55"/>
      <c r="C48" s="72">
        <f t="shared" ref="C48:N48" si="13">C47*C42</f>
        <v>0</v>
      </c>
      <c r="D48" s="72">
        <f t="shared" si="13"/>
        <v>0</v>
      </c>
      <c r="E48" s="72">
        <f t="shared" si="13"/>
        <v>0</v>
      </c>
      <c r="F48" s="72">
        <f t="shared" si="13"/>
        <v>1716</v>
      </c>
      <c r="G48" s="72">
        <f t="shared" si="13"/>
        <v>1716</v>
      </c>
      <c r="H48" s="72">
        <f t="shared" si="13"/>
        <v>1716</v>
      </c>
      <c r="I48" s="72">
        <f t="shared" si="13"/>
        <v>1716</v>
      </c>
      <c r="J48" s="72">
        <f t="shared" si="13"/>
        <v>1716</v>
      </c>
      <c r="K48" s="72">
        <f t="shared" si="13"/>
        <v>1716</v>
      </c>
      <c r="L48" s="72">
        <f t="shared" si="13"/>
        <v>1716</v>
      </c>
      <c r="M48" s="72">
        <f t="shared" si="13"/>
        <v>1716</v>
      </c>
      <c r="N48" s="72">
        <f t="shared" si="13"/>
        <v>1716</v>
      </c>
    </row>
    <row r="49">
      <c r="A49" s="69" t="s">
        <v>94</v>
      </c>
      <c r="B49" s="55"/>
      <c r="C49" s="72">
        <f t="shared" ref="C49:N49" si="14">C47*C43</f>
        <v>0</v>
      </c>
      <c r="D49" s="72">
        <f t="shared" si="14"/>
        <v>0</v>
      </c>
      <c r="E49" s="72">
        <f t="shared" si="14"/>
        <v>0</v>
      </c>
      <c r="F49" s="72">
        <f t="shared" si="14"/>
        <v>1716</v>
      </c>
      <c r="G49" s="72">
        <f t="shared" si="14"/>
        <v>1716</v>
      </c>
      <c r="H49" s="72">
        <f t="shared" si="14"/>
        <v>1716</v>
      </c>
      <c r="I49" s="72">
        <f t="shared" si="14"/>
        <v>1716</v>
      </c>
      <c r="J49" s="72">
        <f t="shared" si="14"/>
        <v>1716</v>
      </c>
      <c r="K49" s="72">
        <f t="shared" si="14"/>
        <v>1716</v>
      </c>
      <c r="L49" s="72">
        <f t="shared" si="14"/>
        <v>1716</v>
      </c>
      <c r="M49" s="72">
        <f t="shared" si="14"/>
        <v>1716</v>
      </c>
      <c r="N49" s="72">
        <f t="shared" si="14"/>
        <v>1716</v>
      </c>
    </row>
    <row r="50">
      <c r="A50" s="69" t="s">
        <v>95</v>
      </c>
      <c r="B50" s="55"/>
      <c r="C50" s="77">
        <f t="shared" ref="C50:N50" si="15">C47-C48-C49</f>
        <v>0</v>
      </c>
      <c r="D50" s="77">
        <f t="shared" si="15"/>
        <v>0</v>
      </c>
      <c r="E50" s="77">
        <f t="shared" si="15"/>
        <v>0</v>
      </c>
      <c r="F50" s="77">
        <f t="shared" si="15"/>
        <v>2288</v>
      </c>
      <c r="G50" s="77">
        <f t="shared" si="15"/>
        <v>2288</v>
      </c>
      <c r="H50" s="77">
        <f t="shared" si="15"/>
        <v>2288</v>
      </c>
      <c r="I50" s="77">
        <f t="shared" si="15"/>
        <v>2288</v>
      </c>
      <c r="J50" s="77">
        <f t="shared" si="15"/>
        <v>2288</v>
      </c>
      <c r="K50" s="77">
        <f t="shared" si="15"/>
        <v>2288</v>
      </c>
      <c r="L50" s="77">
        <f t="shared" si="15"/>
        <v>2288</v>
      </c>
      <c r="M50" s="77">
        <f t="shared" si="15"/>
        <v>2288</v>
      </c>
      <c r="N50" s="77">
        <f t="shared" si="15"/>
        <v>2288</v>
      </c>
    </row>
    <row r="5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A52" s="66" t="s">
        <v>96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A53" s="69" t="s">
        <v>114</v>
      </c>
      <c r="B53" s="55"/>
      <c r="C53" s="78">
        <f t="shared" ref="C53:N53" si="16">C40+C41</f>
        <v>5.5</v>
      </c>
      <c r="D53" s="78">
        <f t="shared" si="16"/>
        <v>5.5</v>
      </c>
      <c r="E53" s="78">
        <f t="shared" si="16"/>
        <v>5.5</v>
      </c>
      <c r="F53" s="78">
        <f t="shared" si="16"/>
        <v>5.5</v>
      </c>
      <c r="G53" s="78">
        <f t="shared" si="16"/>
        <v>5.5</v>
      </c>
      <c r="H53" s="78">
        <f t="shared" si="16"/>
        <v>5.5</v>
      </c>
      <c r="I53" s="78">
        <f t="shared" si="16"/>
        <v>5.5</v>
      </c>
      <c r="J53" s="78">
        <f t="shared" si="16"/>
        <v>5.5</v>
      </c>
      <c r="K53" s="78">
        <f t="shared" si="16"/>
        <v>5.5</v>
      </c>
      <c r="L53" s="78">
        <f t="shared" si="16"/>
        <v>5.5</v>
      </c>
      <c r="M53" s="78">
        <f t="shared" si="16"/>
        <v>5.5</v>
      </c>
      <c r="N53" s="78">
        <f t="shared" si="16"/>
        <v>5.5</v>
      </c>
    </row>
    <row r="54">
      <c r="A54" s="68" t="s">
        <v>98</v>
      </c>
      <c r="B54" s="55"/>
      <c r="C54" s="75">
        <f t="shared" ref="C54:N54" si="17">C37*C53</f>
        <v>0</v>
      </c>
      <c r="D54" s="75">
        <f t="shared" si="17"/>
        <v>0</v>
      </c>
      <c r="E54" s="75">
        <f t="shared" si="17"/>
        <v>0</v>
      </c>
      <c r="F54" s="75">
        <f t="shared" si="17"/>
        <v>44</v>
      </c>
      <c r="G54" s="75">
        <f t="shared" si="17"/>
        <v>44</v>
      </c>
      <c r="H54" s="75">
        <f t="shared" si="17"/>
        <v>44</v>
      </c>
      <c r="I54" s="75">
        <f t="shared" si="17"/>
        <v>44</v>
      </c>
      <c r="J54" s="75">
        <f t="shared" si="17"/>
        <v>44</v>
      </c>
      <c r="K54" s="75">
        <f t="shared" si="17"/>
        <v>44</v>
      </c>
      <c r="L54" s="75">
        <f t="shared" si="17"/>
        <v>44</v>
      </c>
      <c r="M54" s="75">
        <f t="shared" si="17"/>
        <v>44</v>
      </c>
      <c r="N54" s="75">
        <f t="shared" si="17"/>
        <v>44</v>
      </c>
    </row>
    <row r="55">
      <c r="A55" s="69" t="s">
        <v>99</v>
      </c>
      <c r="B55" s="55"/>
      <c r="C55" s="79">
        <f t="shared" ref="C55:N55" si="18">C54/160</f>
        <v>0</v>
      </c>
      <c r="D55" s="79">
        <f t="shared" si="18"/>
        <v>0</v>
      </c>
      <c r="E55" s="79">
        <f t="shared" si="18"/>
        <v>0</v>
      </c>
      <c r="F55" s="79">
        <f t="shared" si="18"/>
        <v>0.275</v>
      </c>
      <c r="G55" s="79">
        <f t="shared" si="18"/>
        <v>0.275</v>
      </c>
      <c r="H55" s="79">
        <f t="shared" si="18"/>
        <v>0.275</v>
      </c>
      <c r="I55" s="79">
        <f t="shared" si="18"/>
        <v>0.275</v>
      </c>
      <c r="J55" s="79">
        <f t="shared" si="18"/>
        <v>0.275</v>
      </c>
      <c r="K55" s="79">
        <f t="shared" si="18"/>
        <v>0.275</v>
      </c>
      <c r="L55" s="79">
        <f t="shared" si="18"/>
        <v>0.275</v>
      </c>
      <c r="M55" s="79">
        <f t="shared" si="18"/>
        <v>0.275</v>
      </c>
      <c r="N55" s="79">
        <f t="shared" si="18"/>
        <v>0.275</v>
      </c>
    </row>
    <row r="56">
      <c r="A56" s="69" t="s">
        <v>100</v>
      </c>
      <c r="B56" s="55"/>
      <c r="C56" s="76" t="str">
        <f t="shared" ref="C56:N56" si="19">C50/C55</f>
        <v>#DIV/0!</v>
      </c>
      <c r="D56" s="76" t="str">
        <f t="shared" si="19"/>
        <v>#DIV/0!</v>
      </c>
      <c r="E56" s="76" t="str">
        <f t="shared" si="19"/>
        <v>#DIV/0!</v>
      </c>
      <c r="F56" s="76">
        <f t="shared" si="19"/>
        <v>8320</v>
      </c>
      <c r="G56" s="76">
        <f t="shared" si="19"/>
        <v>8320</v>
      </c>
      <c r="H56" s="76">
        <f t="shared" si="19"/>
        <v>8320</v>
      </c>
      <c r="I56" s="76">
        <f t="shared" si="19"/>
        <v>8320</v>
      </c>
      <c r="J56" s="76">
        <f t="shared" si="19"/>
        <v>8320</v>
      </c>
      <c r="K56" s="76">
        <f t="shared" si="19"/>
        <v>8320</v>
      </c>
      <c r="L56" s="76">
        <f t="shared" si="19"/>
        <v>8320</v>
      </c>
      <c r="M56" s="76">
        <f t="shared" si="19"/>
        <v>8320</v>
      </c>
      <c r="N56" s="76">
        <f t="shared" si="19"/>
        <v>8320</v>
      </c>
    </row>
    <row r="57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A59" s="83" t="s">
        <v>115</v>
      </c>
      <c r="B59" s="84"/>
      <c r="C59" s="85" t="s">
        <v>5</v>
      </c>
      <c r="D59" s="85" t="s">
        <v>6</v>
      </c>
      <c r="E59" s="85" t="s">
        <v>7</v>
      </c>
      <c r="F59" s="85" t="s">
        <v>8</v>
      </c>
      <c r="G59" s="85" t="s">
        <v>9</v>
      </c>
      <c r="H59" s="85" t="s">
        <v>10</v>
      </c>
      <c r="I59" s="85" t="s">
        <v>11</v>
      </c>
      <c r="J59" s="85" t="s">
        <v>12</v>
      </c>
      <c r="K59" s="85" t="s">
        <v>13</v>
      </c>
      <c r="L59" s="85" t="s">
        <v>14</v>
      </c>
      <c r="M59" s="85" t="s">
        <v>15</v>
      </c>
      <c r="N59" s="85" t="s">
        <v>16</v>
      </c>
    </row>
    <row r="60">
      <c r="A60" s="66" t="s">
        <v>74</v>
      </c>
      <c r="B60" s="67" t="s">
        <v>75</v>
      </c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</row>
    <row r="61">
      <c r="A61" s="68" t="s">
        <v>116</v>
      </c>
      <c r="B61" s="68" t="s">
        <v>117</v>
      </c>
      <c r="C61" s="70">
        <v>0.0</v>
      </c>
      <c r="D61" s="70">
        <v>0.0</v>
      </c>
      <c r="E61" s="70">
        <v>0.0</v>
      </c>
      <c r="F61" s="70">
        <v>7.0</v>
      </c>
      <c r="G61" s="70">
        <v>8.0</v>
      </c>
      <c r="H61" s="70">
        <v>5.0</v>
      </c>
      <c r="I61" s="70">
        <v>0.0</v>
      </c>
      <c r="J61" s="70">
        <v>0.0</v>
      </c>
      <c r="K61" s="70">
        <v>8.0</v>
      </c>
      <c r="L61" s="70">
        <v>9.0</v>
      </c>
      <c r="M61" s="70">
        <v>11.0</v>
      </c>
      <c r="N61" s="70">
        <v>7.0</v>
      </c>
    </row>
    <row r="62">
      <c r="A62" s="69" t="s">
        <v>118</v>
      </c>
      <c r="B62" s="69" t="s">
        <v>119</v>
      </c>
      <c r="C62" s="71">
        <v>24.0</v>
      </c>
      <c r="D62" s="71">
        <v>24.0</v>
      </c>
      <c r="E62" s="71">
        <v>24.0</v>
      </c>
      <c r="F62" s="71">
        <v>24.0</v>
      </c>
      <c r="G62" s="71">
        <v>24.0</v>
      </c>
      <c r="H62" s="71">
        <v>24.0</v>
      </c>
      <c r="I62" s="71">
        <v>24.0</v>
      </c>
      <c r="J62" s="71">
        <v>24.0</v>
      </c>
      <c r="K62" s="71">
        <v>24.0</v>
      </c>
      <c r="L62" s="71">
        <v>24.0</v>
      </c>
      <c r="M62" s="71">
        <v>24.0</v>
      </c>
      <c r="N62" s="71">
        <v>24.0</v>
      </c>
    </row>
    <row r="63">
      <c r="A63" s="69" t="s">
        <v>120</v>
      </c>
      <c r="B63" s="69" t="s">
        <v>121</v>
      </c>
      <c r="C63" s="72">
        <v>15.0</v>
      </c>
      <c r="D63" s="72">
        <v>15.0</v>
      </c>
      <c r="E63" s="72">
        <v>15.0</v>
      </c>
      <c r="F63" s="72">
        <v>15.0</v>
      </c>
      <c r="G63" s="72">
        <v>15.0</v>
      </c>
      <c r="H63" s="72">
        <v>15.0</v>
      </c>
      <c r="I63" s="72">
        <v>15.0</v>
      </c>
      <c r="J63" s="72">
        <v>15.0</v>
      </c>
      <c r="K63" s="72">
        <v>15.0</v>
      </c>
      <c r="L63" s="72">
        <v>15.0</v>
      </c>
      <c r="M63" s="72">
        <v>15.0</v>
      </c>
      <c r="N63" s="72">
        <v>15.0</v>
      </c>
    </row>
    <row r="64">
      <c r="A64" s="69" t="s">
        <v>122</v>
      </c>
      <c r="B64" s="69" t="s">
        <v>123</v>
      </c>
      <c r="C64" s="71">
        <v>2.0</v>
      </c>
      <c r="D64" s="71">
        <v>2.0</v>
      </c>
      <c r="E64" s="71">
        <v>2.0</v>
      </c>
      <c r="F64" s="71">
        <v>2.0</v>
      </c>
      <c r="G64" s="71">
        <v>2.0</v>
      </c>
      <c r="H64" s="71">
        <v>2.0</v>
      </c>
      <c r="I64" s="71">
        <v>2.0</v>
      </c>
      <c r="J64" s="71">
        <v>2.0</v>
      </c>
      <c r="K64" s="71">
        <v>2.0</v>
      </c>
      <c r="L64" s="71">
        <v>2.0</v>
      </c>
      <c r="M64" s="71">
        <v>2.0</v>
      </c>
      <c r="N64" s="71">
        <v>2.0</v>
      </c>
    </row>
    <row r="65">
      <c r="A65" s="69" t="s">
        <v>124</v>
      </c>
      <c r="B65" s="69" t="s">
        <v>125</v>
      </c>
      <c r="C65" s="71">
        <v>0.5</v>
      </c>
      <c r="D65" s="71">
        <v>0.5</v>
      </c>
      <c r="E65" s="71">
        <v>0.5</v>
      </c>
      <c r="F65" s="71">
        <v>0.5</v>
      </c>
      <c r="G65" s="71">
        <v>0.5</v>
      </c>
      <c r="H65" s="71">
        <v>0.5</v>
      </c>
      <c r="I65" s="71">
        <v>0.5</v>
      </c>
      <c r="J65" s="71">
        <v>0.5</v>
      </c>
      <c r="K65" s="71">
        <v>0.5</v>
      </c>
      <c r="L65" s="71">
        <v>0.5</v>
      </c>
      <c r="M65" s="71">
        <v>0.5</v>
      </c>
      <c r="N65" s="71">
        <v>0.5</v>
      </c>
    </row>
    <row r="66">
      <c r="A66" s="69" t="s">
        <v>86</v>
      </c>
      <c r="B66" s="69" t="s">
        <v>126</v>
      </c>
      <c r="C66" s="74">
        <v>0.0</v>
      </c>
      <c r="D66" s="74">
        <v>0.0</v>
      </c>
      <c r="E66" s="74">
        <v>0.0</v>
      </c>
      <c r="F66" s="74">
        <v>0.0</v>
      </c>
      <c r="G66" s="74">
        <v>0.0</v>
      </c>
      <c r="H66" s="74">
        <v>0.0</v>
      </c>
      <c r="I66" s="74">
        <v>0.0</v>
      </c>
      <c r="J66" s="74">
        <v>0.0</v>
      </c>
      <c r="K66" s="74">
        <v>0.0</v>
      </c>
      <c r="L66" s="74">
        <v>0.0</v>
      </c>
      <c r="M66" s="74">
        <v>0.0</v>
      </c>
      <c r="N66" s="74">
        <v>0.0</v>
      </c>
    </row>
    <row r="67">
      <c r="A67" s="69" t="s">
        <v>88</v>
      </c>
      <c r="B67" s="69" t="s">
        <v>127</v>
      </c>
      <c r="C67" s="74">
        <v>0.0</v>
      </c>
      <c r="D67" s="74">
        <v>0.0</v>
      </c>
      <c r="E67" s="74">
        <v>0.0</v>
      </c>
      <c r="F67" s="74">
        <v>0.0</v>
      </c>
      <c r="G67" s="74">
        <v>0.0</v>
      </c>
      <c r="H67" s="74">
        <v>0.0</v>
      </c>
      <c r="I67" s="74">
        <v>0.0</v>
      </c>
      <c r="J67" s="74">
        <v>0.0</v>
      </c>
      <c r="K67" s="74">
        <v>0.0</v>
      </c>
      <c r="L67" s="74">
        <v>0.0</v>
      </c>
      <c r="M67" s="74">
        <v>0.0</v>
      </c>
      <c r="N67" s="74">
        <v>0.0</v>
      </c>
    </row>
    <row r="68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</row>
    <row r="69">
      <c r="A69" s="66" t="s">
        <v>90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</row>
    <row r="70">
      <c r="A70" s="68" t="s">
        <v>128</v>
      </c>
      <c r="B70" s="55"/>
      <c r="C70" s="75">
        <f t="shared" ref="C70:N70" si="20">C61*C62</f>
        <v>0</v>
      </c>
      <c r="D70" s="75">
        <f t="shared" si="20"/>
        <v>0</v>
      </c>
      <c r="E70" s="75">
        <f t="shared" si="20"/>
        <v>0</v>
      </c>
      <c r="F70" s="75">
        <f t="shared" si="20"/>
        <v>168</v>
      </c>
      <c r="G70" s="75">
        <f t="shared" si="20"/>
        <v>192</v>
      </c>
      <c r="H70" s="75">
        <f t="shared" si="20"/>
        <v>120</v>
      </c>
      <c r="I70" s="75">
        <f t="shared" si="20"/>
        <v>0</v>
      </c>
      <c r="J70" s="75">
        <f t="shared" si="20"/>
        <v>0</v>
      </c>
      <c r="K70" s="75">
        <f t="shared" si="20"/>
        <v>192</v>
      </c>
      <c r="L70" s="75">
        <f t="shared" si="20"/>
        <v>216</v>
      </c>
      <c r="M70" s="75">
        <f t="shared" si="20"/>
        <v>264</v>
      </c>
      <c r="N70" s="75">
        <f t="shared" si="20"/>
        <v>168</v>
      </c>
    </row>
    <row r="71">
      <c r="A71" s="69" t="s">
        <v>92</v>
      </c>
      <c r="B71" s="55"/>
      <c r="C71" s="76">
        <f t="shared" ref="C71:N71" si="21">C61*C62*C63</f>
        <v>0</v>
      </c>
      <c r="D71" s="76">
        <f t="shared" si="21"/>
        <v>0</v>
      </c>
      <c r="E71" s="76">
        <f t="shared" si="21"/>
        <v>0</v>
      </c>
      <c r="F71" s="76">
        <f t="shared" si="21"/>
        <v>2520</v>
      </c>
      <c r="G71" s="76">
        <f t="shared" si="21"/>
        <v>2880</v>
      </c>
      <c r="H71" s="76">
        <f t="shared" si="21"/>
        <v>1800</v>
      </c>
      <c r="I71" s="76">
        <f t="shared" si="21"/>
        <v>0</v>
      </c>
      <c r="J71" s="76">
        <f t="shared" si="21"/>
        <v>0</v>
      </c>
      <c r="K71" s="76">
        <f t="shared" si="21"/>
        <v>2880</v>
      </c>
      <c r="L71" s="76">
        <f t="shared" si="21"/>
        <v>3240</v>
      </c>
      <c r="M71" s="76">
        <f t="shared" si="21"/>
        <v>3960</v>
      </c>
      <c r="N71" s="76">
        <f t="shared" si="21"/>
        <v>2520</v>
      </c>
    </row>
    <row r="72">
      <c r="A72" s="69" t="s">
        <v>93</v>
      </c>
      <c r="B72" s="55"/>
      <c r="C72" s="72">
        <f t="shared" ref="C72:N72" si="22">C71*C66</f>
        <v>0</v>
      </c>
      <c r="D72" s="72">
        <f t="shared" si="22"/>
        <v>0</v>
      </c>
      <c r="E72" s="72">
        <f t="shared" si="22"/>
        <v>0</v>
      </c>
      <c r="F72" s="72">
        <f t="shared" si="22"/>
        <v>0</v>
      </c>
      <c r="G72" s="72">
        <f t="shared" si="22"/>
        <v>0</v>
      </c>
      <c r="H72" s="72">
        <f t="shared" si="22"/>
        <v>0</v>
      </c>
      <c r="I72" s="72">
        <f t="shared" si="22"/>
        <v>0</v>
      </c>
      <c r="J72" s="72">
        <f t="shared" si="22"/>
        <v>0</v>
      </c>
      <c r="K72" s="72">
        <f t="shared" si="22"/>
        <v>0</v>
      </c>
      <c r="L72" s="72">
        <f t="shared" si="22"/>
        <v>0</v>
      </c>
      <c r="M72" s="72">
        <f t="shared" si="22"/>
        <v>0</v>
      </c>
      <c r="N72" s="72">
        <f t="shared" si="22"/>
        <v>0</v>
      </c>
    </row>
    <row r="73">
      <c r="A73" s="69" t="s">
        <v>94</v>
      </c>
      <c r="B73" s="55"/>
      <c r="C73" s="72">
        <f t="shared" ref="C73:N73" si="23">C71*C67</f>
        <v>0</v>
      </c>
      <c r="D73" s="72">
        <f t="shared" si="23"/>
        <v>0</v>
      </c>
      <c r="E73" s="72">
        <f t="shared" si="23"/>
        <v>0</v>
      </c>
      <c r="F73" s="72">
        <f t="shared" si="23"/>
        <v>0</v>
      </c>
      <c r="G73" s="72">
        <f t="shared" si="23"/>
        <v>0</v>
      </c>
      <c r="H73" s="72">
        <f t="shared" si="23"/>
        <v>0</v>
      </c>
      <c r="I73" s="72">
        <f t="shared" si="23"/>
        <v>0</v>
      </c>
      <c r="J73" s="72">
        <f t="shared" si="23"/>
        <v>0</v>
      </c>
      <c r="K73" s="72">
        <f t="shared" si="23"/>
        <v>0</v>
      </c>
      <c r="L73" s="72">
        <f t="shared" si="23"/>
        <v>0</v>
      </c>
      <c r="M73" s="72">
        <f t="shared" si="23"/>
        <v>0</v>
      </c>
      <c r="N73" s="72">
        <f t="shared" si="23"/>
        <v>0</v>
      </c>
    </row>
    <row r="74">
      <c r="A74" s="69" t="s">
        <v>95</v>
      </c>
      <c r="B74" s="55"/>
      <c r="C74" s="77">
        <f t="shared" ref="C74:N74" si="24">C71-C72-C73</f>
        <v>0</v>
      </c>
      <c r="D74" s="77">
        <f t="shared" si="24"/>
        <v>0</v>
      </c>
      <c r="E74" s="77">
        <f t="shared" si="24"/>
        <v>0</v>
      </c>
      <c r="F74" s="77">
        <f t="shared" si="24"/>
        <v>2520</v>
      </c>
      <c r="G74" s="77">
        <f t="shared" si="24"/>
        <v>2880</v>
      </c>
      <c r="H74" s="77">
        <f t="shared" si="24"/>
        <v>1800</v>
      </c>
      <c r="I74" s="77">
        <f t="shared" si="24"/>
        <v>0</v>
      </c>
      <c r="J74" s="77">
        <f t="shared" si="24"/>
        <v>0</v>
      </c>
      <c r="K74" s="77">
        <f t="shared" si="24"/>
        <v>2880</v>
      </c>
      <c r="L74" s="77">
        <f t="shared" si="24"/>
        <v>3240</v>
      </c>
      <c r="M74" s="77">
        <f t="shared" si="24"/>
        <v>3960</v>
      </c>
      <c r="N74" s="77">
        <f t="shared" si="24"/>
        <v>2520</v>
      </c>
    </row>
    <row r="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</row>
    <row r="76">
      <c r="A76" s="66" t="s">
        <v>96</v>
      </c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</row>
    <row r="77">
      <c r="A77" s="69" t="s">
        <v>129</v>
      </c>
      <c r="B77" s="55"/>
      <c r="C77" s="78">
        <f t="shared" ref="C77:N77" si="25">C64+C65</f>
        <v>2.5</v>
      </c>
      <c r="D77" s="78">
        <f t="shared" si="25"/>
        <v>2.5</v>
      </c>
      <c r="E77" s="78">
        <f t="shared" si="25"/>
        <v>2.5</v>
      </c>
      <c r="F77" s="78">
        <f t="shared" si="25"/>
        <v>2.5</v>
      </c>
      <c r="G77" s="78">
        <f t="shared" si="25"/>
        <v>2.5</v>
      </c>
      <c r="H77" s="78">
        <f t="shared" si="25"/>
        <v>2.5</v>
      </c>
      <c r="I77" s="78">
        <f t="shared" si="25"/>
        <v>2.5</v>
      </c>
      <c r="J77" s="78">
        <f t="shared" si="25"/>
        <v>2.5</v>
      </c>
      <c r="K77" s="78">
        <f t="shared" si="25"/>
        <v>2.5</v>
      </c>
      <c r="L77" s="78">
        <f t="shared" si="25"/>
        <v>2.5</v>
      </c>
      <c r="M77" s="78">
        <f t="shared" si="25"/>
        <v>2.5</v>
      </c>
      <c r="N77" s="78">
        <f t="shared" si="25"/>
        <v>2.5</v>
      </c>
    </row>
    <row r="78">
      <c r="A78" s="68" t="s">
        <v>98</v>
      </c>
      <c r="B78" s="55"/>
      <c r="C78" s="75">
        <f t="shared" ref="C78:N78" si="26">C61*C77</f>
        <v>0</v>
      </c>
      <c r="D78" s="75">
        <f t="shared" si="26"/>
        <v>0</v>
      </c>
      <c r="E78" s="75">
        <f t="shared" si="26"/>
        <v>0</v>
      </c>
      <c r="F78" s="75">
        <f t="shared" si="26"/>
        <v>17.5</v>
      </c>
      <c r="G78" s="75">
        <f t="shared" si="26"/>
        <v>20</v>
      </c>
      <c r="H78" s="75">
        <f t="shared" si="26"/>
        <v>12.5</v>
      </c>
      <c r="I78" s="75">
        <f t="shared" si="26"/>
        <v>0</v>
      </c>
      <c r="J78" s="75">
        <f t="shared" si="26"/>
        <v>0</v>
      </c>
      <c r="K78" s="75">
        <f t="shared" si="26"/>
        <v>20</v>
      </c>
      <c r="L78" s="75">
        <f t="shared" si="26"/>
        <v>22.5</v>
      </c>
      <c r="M78" s="75">
        <f t="shared" si="26"/>
        <v>27.5</v>
      </c>
      <c r="N78" s="75">
        <f t="shared" si="26"/>
        <v>17.5</v>
      </c>
    </row>
    <row r="79">
      <c r="A79" s="69" t="s">
        <v>99</v>
      </c>
      <c r="B79" s="55"/>
      <c r="C79" s="79">
        <f t="shared" ref="C79:N79" si="27">C78/160</f>
        <v>0</v>
      </c>
      <c r="D79" s="79">
        <f t="shared" si="27"/>
        <v>0</v>
      </c>
      <c r="E79" s="79">
        <f t="shared" si="27"/>
        <v>0</v>
      </c>
      <c r="F79" s="79">
        <f t="shared" si="27"/>
        <v>0.109375</v>
      </c>
      <c r="G79" s="79">
        <f t="shared" si="27"/>
        <v>0.125</v>
      </c>
      <c r="H79" s="79">
        <f t="shared" si="27"/>
        <v>0.078125</v>
      </c>
      <c r="I79" s="79">
        <f t="shared" si="27"/>
        <v>0</v>
      </c>
      <c r="J79" s="79">
        <f t="shared" si="27"/>
        <v>0</v>
      </c>
      <c r="K79" s="79">
        <f t="shared" si="27"/>
        <v>0.125</v>
      </c>
      <c r="L79" s="79">
        <f t="shared" si="27"/>
        <v>0.140625</v>
      </c>
      <c r="M79" s="79">
        <f t="shared" si="27"/>
        <v>0.171875</v>
      </c>
      <c r="N79" s="79">
        <f t="shared" si="27"/>
        <v>0.109375</v>
      </c>
    </row>
    <row r="80">
      <c r="A80" s="69" t="s">
        <v>100</v>
      </c>
      <c r="B80" s="55"/>
      <c r="C80" s="76" t="str">
        <f t="shared" ref="C80:N80" si="28">C74/C79</f>
        <v>#DIV/0!</v>
      </c>
      <c r="D80" s="76" t="str">
        <f t="shared" si="28"/>
        <v>#DIV/0!</v>
      </c>
      <c r="E80" s="76" t="str">
        <f t="shared" si="28"/>
        <v>#DIV/0!</v>
      </c>
      <c r="F80" s="76">
        <f t="shared" si="28"/>
        <v>23040</v>
      </c>
      <c r="G80" s="76">
        <f t="shared" si="28"/>
        <v>23040</v>
      </c>
      <c r="H80" s="76">
        <f t="shared" si="28"/>
        <v>23040</v>
      </c>
      <c r="I80" s="76" t="str">
        <f t="shared" si="28"/>
        <v>#DIV/0!</v>
      </c>
      <c r="J80" s="76" t="str">
        <f t="shared" si="28"/>
        <v>#DIV/0!</v>
      </c>
      <c r="K80" s="76">
        <f t="shared" si="28"/>
        <v>23040</v>
      </c>
      <c r="L80" s="76">
        <f t="shared" si="28"/>
        <v>23040</v>
      </c>
      <c r="M80" s="76">
        <f t="shared" si="28"/>
        <v>23040</v>
      </c>
      <c r="N80" s="76">
        <f t="shared" si="28"/>
        <v>23040</v>
      </c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</row>
    <row r="83">
      <c r="A83" s="86" t="s">
        <v>130</v>
      </c>
      <c r="B83" s="87"/>
      <c r="C83" s="88" t="s">
        <v>5</v>
      </c>
      <c r="D83" s="88" t="s">
        <v>6</v>
      </c>
      <c r="E83" s="88" t="s">
        <v>7</v>
      </c>
      <c r="F83" s="88" t="s">
        <v>8</v>
      </c>
      <c r="G83" s="88" t="s">
        <v>9</v>
      </c>
      <c r="H83" s="88" t="s">
        <v>10</v>
      </c>
      <c r="I83" s="88" t="s">
        <v>11</v>
      </c>
      <c r="J83" s="88" t="s">
        <v>12</v>
      </c>
      <c r="K83" s="88" t="s">
        <v>13</v>
      </c>
      <c r="L83" s="88" t="s">
        <v>14</v>
      </c>
      <c r="M83" s="88" t="s">
        <v>15</v>
      </c>
      <c r="N83" s="88" t="s">
        <v>16</v>
      </c>
    </row>
    <row r="84">
      <c r="A84" s="66" t="s">
        <v>74</v>
      </c>
      <c r="B84" s="67" t="s">
        <v>75</v>
      </c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</row>
    <row r="85">
      <c r="A85" s="68" t="s">
        <v>102</v>
      </c>
      <c r="B85" s="69" t="s">
        <v>131</v>
      </c>
      <c r="C85" s="70">
        <v>0.0</v>
      </c>
      <c r="D85" s="70">
        <v>0.0</v>
      </c>
      <c r="E85" s="70">
        <v>0.0</v>
      </c>
      <c r="F85" s="70">
        <v>8.0</v>
      </c>
      <c r="G85" s="70">
        <v>8.0</v>
      </c>
      <c r="H85" s="70">
        <v>8.0</v>
      </c>
      <c r="I85" s="70">
        <v>8.0</v>
      </c>
      <c r="J85" s="70">
        <v>4.0</v>
      </c>
      <c r="K85" s="70">
        <v>4.0</v>
      </c>
      <c r="L85" s="70">
        <v>8.0</v>
      </c>
      <c r="M85" s="70">
        <v>8.0</v>
      </c>
      <c r="N85" s="70">
        <v>8.0</v>
      </c>
    </row>
    <row r="86">
      <c r="A86" s="69" t="s">
        <v>132</v>
      </c>
      <c r="B86" s="69" t="s">
        <v>133</v>
      </c>
      <c r="C86" s="71">
        <v>11.0</v>
      </c>
      <c r="D86" s="71">
        <v>11.0</v>
      </c>
      <c r="E86" s="71">
        <v>11.0</v>
      </c>
      <c r="F86" s="71">
        <v>11.0</v>
      </c>
      <c r="G86" s="71">
        <v>11.0</v>
      </c>
      <c r="H86" s="71">
        <v>11.0</v>
      </c>
      <c r="I86" s="71">
        <v>11.0</v>
      </c>
      <c r="J86" s="71">
        <v>11.0</v>
      </c>
      <c r="K86" s="71">
        <v>11.0</v>
      </c>
      <c r="L86" s="71">
        <v>11.0</v>
      </c>
      <c r="M86" s="71">
        <v>11.0</v>
      </c>
      <c r="N86" s="71">
        <v>11.0</v>
      </c>
    </row>
    <row r="87">
      <c r="A87" s="69" t="s">
        <v>80</v>
      </c>
      <c r="B87" s="69" t="s">
        <v>134</v>
      </c>
      <c r="C87" s="72">
        <v>102.0</v>
      </c>
      <c r="D87" s="72">
        <v>102.0</v>
      </c>
      <c r="E87" s="72">
        <v>102.0</v>
      </c>
      <c r="F87" s="72">
        <v>102.0</v>
      </c>
      <c r="G87" s="72">
        <v>102.0</v>
      </c>
      <c r="H87" s="72">
        <v>102.0</v>
      </c>
      <c r="I87" s="72">
        <v>102.0</v>
      </c>
      <c r="J87" s="72">
        <v>102.0</v>
      </c>
      <c r="K87" s="72">
        <v>102.0</v>
      </c>
      <c r="L87" s="72">
        <v>102.0</v>
      </c>
      <c r="M87" s="72">
        <v>102.0</v>
      </c>
      <c r="N87" s="72">
        <v>102.0</v>
      </c>
    </row>
    <row r="88">
      <c r="A88" s="69" t="s">
        <v>135</v>
      </c>
      <c r="B88" s="69" t="s">
        <v>136</v>
      </c>
      <c r="C88" s="71">
        <v>10.0</v>
      </c>
      <c r="D88" s="71">
        <v>10.0</v>
      </c>
      <c r="E88" s="71">
        <v>10.0</v>
      </c>
      <c r="F88" s="71">
        <v>10.0</v>
      </c>
      <c r="G88" s="71">
        <v>10.0</v>
      </c>
      <c r="H88" s="71">
        <v>10.0</v>
      </c>
      <c r="I88" s="71">
        <v>10.0</v>
      </c>
      <c r="J88" s="71">
        <v>10.0</v>
      </c>
      <c r="K88" s="71">
        <v>10.0</v>
      </c>
      <c r="L88" s="71">
        <v>10.0</v>
      </c>
      <c r="M88" s="71">
        <v>10.0</v>
      </c>
      <c r="N88" s="71">
        <v>10.0</v>
      </c>
    </row>
    <row r="89">
      <c r="A89" s="69" t="s">
        <v>86</v>
      </c>
      <c r="B89" s="69" t="s">
        <v>137</v>
      </c>
      <c r="C89" s="89">
        <v>0.065</v>
      </c>
      <c r="D89" s="89">
        <v>0.065</v>
      </c>
      <c r="E89" s="89">
        <v>0.065</v>
      </c>
      <c r="F89" s="89">
        <v>0.065</v>
      </c>
      <c r="G89" s="89">
        <v>0.065</v>
      </c>
      <c r="H89" s="89">
        <v>0.065</v>
      </c>
      <c r="I89" s="89">
        <v>0.065</v>
      </c>
      <c r="J89" s="89">
        <v>0.065</v>
      </c>
      <c r="K89" s="89">
        <v>0.065</v>
      </c>
      <c r="L89" s="89">
        <v>0.065</v>
      </c>
      <c r="M89" s="89">
        <v>0.065</v>
      </c>
      <c r="N89" s="89">
        <v>0.065</v>
      </c>
    </row>
    <row r="90">
      <c r="A90" s="69" t="s">
        <v>88</v>
      </c>
      <c r="B90" s="69" t="s">
        <v>138</v>
      </c>
      <c r="C90" s="74">
        <v>0.19</v>
      </c>
      <c r="D90" s="74">
        <v>0.19</v>
      </c>
      <c r="E90" s="74">
        <v>0.19</v>
      </c>
      <c r="F90" s="74">
        <v>0.19</v>
      </c>
      <c r="G90" s="74">
        <v>0.19</v>
      </c>
      <c r="H90" s="74">
        <v>0.19</v>
      </c>
      <c r="I90" s="74">
        <v>0.19</v>
      </c>
      <c r="J90" s="74">
        <v>0.19</v>
      </c>
      <c r="K90" s="74">
        <v>0.19</v>
      </c>
      <c r="L90" s="74">
        <v>0.19</v>
      </c>
      <c r="M90" s="74">
        <v>0.19</v>
      </c>
      <c r="N90" s="74">
        <v>0.19</v>
      </c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</row>
    <row r="92">
      <c r="A92" s="66" t="s">
        <v>90</v>
      </c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</row>
    <row r="93">
      <c r="A93" s="68" t="s">
        <v>128</v>
      </c>
      <c r="B93" s="55"/>
      <c r="C93" s="75">
        <f t="shared" ref="C93:N93" si="29">C85*C86</f>
        <v>0</v>
      </c>
      <c r="D93" s="75">
        <f t="shared" si="29"/>
        <v>0</v>
      </c>
      <c r="E93" s="75">
        <f t="shared" si="29"/>
        <v>0</v>
      </c>
      <c r="F93" s="75">
        <f t="shared" si="29"/>
        <v>88</v>
      </c>
      <c r="G93" s="75">
        <f t="shared" si="29"/>
        <v>88</v>
      </c>
      <c r="H93" s="75">
        <f t="shared" si="29"/>
        <v>88</v>
      </c>
      <c r="I93" s="75">
        <f t="shared" si="29"/>
        <v>88</v>
      </c>
      <c r="J93" s="75">
        <f t="shared" si="29"/>
        <v>44</v>
      </c>
      <c r="K93" s="75">
        <f t="shared" si="29"/>
        <v>44</v>
      </c>
      <c r="L93" s="75">
        <f t="shared" si="29"/>
        <v>88</v>
      </c>
      <c r="M93" s="75">
        <f t="shared" si="29"/>
        <v>88</v>
      </c>
      <c r="N93" s="75">
        <f t="shared" si="29"/>
        <v>88</v>
      </c>
    </row>
    <row r="94">
      <c r="A94" s="69" t="s">
        <v>92</v>
      </c>
      <c r="B94" s="55"/>
      <c r="C94" s="76">
        <f t="shared" ref="C94:N94" si="30">C85*C86*C87</f>
        <v>0</v>
      </c>
      <c r="D94" s="76">
        <f t="shared" si="30"/>
        <v>0</v>
      </c>
      <c r="E94" s="76">
        <f t="shared" si="30"/>
        <v>0</v>
      </c>
      <c r="F94" s="76">
        <f t="shared" si="30"/>
        <v>8976</v>
      </c>
      <c r="G94" s="76">
        <f t="shared" si="30"/>
        <v>8976</v>
      </c>
      <c r="H94" s="76">
        <f t="shared" si="30"/>
        <v>8976</v>
      </c>
      <c r="I94" s="76">
        <f t="shared" si="30"/>
        <v>8976</v>
      </c>
      <c r="J94" s="76">
        <f t="shared" si="30"/>
        <v>4488</v>
      </c>
      <c r="K94" s="76">
        <f t="shared" si="30"/>
        <v>4488</v>
      </c>
      <c r="L94" s="76">
        <f t="shared" si="30"/>
        <v>8976</v>
      </c>
      <c r="M94" s="76">
        <f t="shared" si="30"/>
        <v>8976</v>
      </c>
      <c r="N94" s="76">
        <f t="shared" si="30"/>
        <v>8976</v>
      </c>
    </row>
    <row r="95">
      <c r="A95" s="69" t="s">
        <v>93</v>
      </c>
      <c r="B95" s="55"/>
      <c r="C95" s="72">
        <f t="shared" ref="C95:N95" si="31">C94*C89</f>
        <v>0</v>
      </c>
      <c r="D95" s="72">
        <f t="shared" si="31"/>
        <v>0</v>
      </c>
      <c r="E95" s="72">
        <f t="shared" si="31"/>
        <v>0</v>
      </c>
      <c r="F95" s="72">
        <f t="shared" si="31"/>
        <v>583.44</v>
      </c>
      <c r="G95" s="72">
        <f t="shared" si="31"/>
        <v>583.44</v>
      </c>
      <c r="H95" s="72">
        <f t="shared" si="31"/>
        <v>583.44</v>
      </c>
      <c r="I95" s="72">
        <f t="shared" si="31"/>
        <v>583.44</v>
      </c>
      <c r="J95" s="72">
        <f t="shared" si="31"/>
        <v>291.72</v>
      </c>
      <c r="K95" s="72">
        <f t="shared" si="31"/>
        <v>291.72</v>
      </c>
      <c r="L95" s="72">
        <f t="shared" si="31"/>
        <v>583.44</v>
      </c>
      <c r="M95" s="72">
        <f t="shared" si="31"/>
        <v>583.44</v>
      </c>
      <c r="N95" s="72">
        <f t="shared" si="31"/>
        <v>583.44</v>
      </c>
    </row>
    <row r="96">
      <c r="A96" s="69" t="s">
        <v>94</v>
      </c>
      <c r="B96" s="55"/>
      <c r="C96" s="72">
        <f t="shared" ref="C96:N96" si="32">C94*C90</f>
        <v>0</v>
      </c>
      <c r="D96" s="72">
        <f t="shared" si="32"/>
        <v>0</v>
      </c>
      <c r="E96" s="72">
        <f t="shared" si="32"/>
        <v>0</v>
      </c>
      <c r="F96" s="72">
        <f t="shared" si="32"/>
        <v>1705.44</v>
      </c>
      <c r="G96" s="72">
        <f t="shared" si="32"/>
        <v>1705.44</v>
      </c>
      <c r="H96" s="72">
        <f t="shared" si="32"/>
        <v>1705.44</v>
      </c>
      <c r="I96" s="72">
        <f t="shared" si="32"/>
        <v>1705.44</v>
      </c>
      <c r="J96" s="72">
        <f t="shared" si="32"/>
        <v>852.72</v>
      </c>
      <c r="K96" s="72">
        <f t="shared" si="32"/>
        <v>852.72</v>
      </c>
      <c r="L96" s="72">
        <f t="shared" si="32"/>
        <v>1705.44</v>
      </c>
      <c r="M96" s="72">
        <f t="shared" si="32"/>
        <v>1705.44</v>
      </c>
      <c r="N96" s="72">
        <f t="shared" si="32"/>
        <v>1705.44</v>
      </c>
    </row>
    <row r="97">
      <c r="A97" s="69" t="s">
        <v>95</v>
      </c>
      <c r="B97" s="55"/>
      <c r="C97" s="77">
        <f t="shared" ref="C97:N97" si="33">C94-C95-C96</f>
        <v>0</v>
      </c>
      <c r="D97" s="77">
        <f t="shared" si="33"/>
        <v>0</v>
      </c>
      <c r="E97" s="77">
        <f t="shared" si="33"/>
        <v>0</v>
      </c>
      <c r="F97" s="77">
        <f t="shared" si="33"/>
        <v>6687.12</v>
      </c>
      <c r="G97" s="77">
        <f t="shared" si="33"/>
        <v>6687.12</v>
      </c>
      <c r="H97" s="77">
        <f t="shared" si="33"/>
        <v>6687.12</v>
      </c>
      <c r="I97" s="77">
        <f t="shared" si="33"/>
        <v>6687.12</v>
      </c>
      <c r="J97" s="77">
        <f t="shared" si="33"/>
        <v>3343.56</v>
      </c>
      <c r="K97" s="77">
        <f t="shared" si="33"/>
        <v>3343.56</v>
      </c>
      <c r="L97" s="77">
        <f t="shared" si="33"/>
        <v>6687.12</v>
      </c>
      <c r="M97" s="77">
        <f t="shared" si="33"/>
        <v>6687.12</v>
      </c>
      <c r="N97" s="77">
        <f t="shared" si="33"/>
        <v>6687.12</v>
      </c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</row>
    <row r="99">
      <c r="A99" s="66" t="s">
        <v>96</v>
      </c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</row>
    <row r="100">
      <c r="A100" s="68" t="s">
        <v>98</v>
      </c>
      <c r="B100" s="55"/>
      <c r="C100" s="75">
        <f t="shared" ref="C100:N100" si="34">C85*C88</f>
        <v>0</v>
      </c>
      <c r="D100" s="75">
        <f t="shared" si="34"/>
        <v>0</v>
      </c>
      <c r="E100" s="75">
        <f t="shared" si="34"/>
        <v>0</v>
      </c>
      <c r="F100" s="75">
        <f t="shared" si="34"/>
        <v>80</v>
      </c>
      <c r="G100" s="75">
        <f t="shared" si="34"/>
        <v>80</v>
      </c>
      <c r="H100" s="75">
        <f t="shared" si="34"/>
        <v>80</v>
      </c>
      <c r="I100" s="75">
        <f t="shared" si="34"/>
        <v>80</v>
      </c>
      <c r="J100" s="75">
        <f t="shared" si="34"/>
        <v>40</v>
      </c>
      <c r="K100" s="75">
        <f t="shared" si="34"/>
        <v>40</v>
      </c>
      <c r="L100" s="75">
        <f t="shared" si="34"/>
        <v>80</v>
      </c>
      <c r="M100" s="75">
        <f t="shared" si="34"/>
        <v>80</v>
      </c>
      <c r="N100" s="75">
        <f t="shared" si="34"/>
        <v>80</v>
      </c>
    </row>
    <row r="101">
      <c r="A101" s="69" t="s">
        <v>99</v>
      </c>
      <c r="B101" s="55"/>
      <c r="C101" s="79">
        <f t="shared" ref="C101:N101" si="35">C100/160</f>
        <v>0</v>
      </c>
      <c r="D101" s="79">
        <f t="shared" si="35"/>
        <v>0</v>
      </c>
      <c r="E101" s="79">
        <f t="shared" si="35"/>
        <v>0</v>
      </c>
      <c r="F101" s="79">
        <f t="shared" si="35"/>
        <v>0.5</v>
      </c>
      <c r="G101" s="79">
        <f t="shared" si="35"/>
        <v>0.5</v>
      </c>
      <c r="H101" s="79">
        <f t="shared" si="35"/>
        <v>0.5</v>
      </c>
      <c r="I101" s="79">
        <f t="shared" si="35"/>
        <v>0.5</v>
      </c>
      <c r="J101" s="79">
        <f t="shared" si="35"/>
        <v>0.25</v>
      </c>
      <c r="K101" s="79">
        <f t="shared" si="35"/>
        <v>0.25</v>
      </c>
      <c r="L101" s="79">
        <f t="shared" si="35"/>
        <v>0.5</v>
      </c>
      <c r="M101" s="79">
        <f t="shared" si="35"/>
        <v>0.5</v>
      </c>
      <c r="N101" s="79">
        <f t="shared" si="35"/>
        <v>0.5</v>
      </c>
    </row>
    <row r="102">
      <c r="A102" s="69" t="s">
        <v>100</v>
      </c>
      <c r="B102" s="55"/>
      <c r="C102" s="76" t="str">
        <f t="shared" ref="C102:N102" si="36">C97/C101</f>
        <v>#DIV/0!</v>
      </c>
      <c r="D102" s="76" t="str">
        <f t="shared" si="36"/>
        <v>#DIV/0!</v>
      </c>
      <c r="E102" s="76" t="str">
        <f t="shared" si="36"/>
        <v>#DIV/0!</v>
      </c>
      <c r="F102" s="76">
        <f t="shared" si="36"/>
        <v>13374.24</v>
      </c>
      <c r="G102" s="76">
        <f t="shared" si="36"/>
        <v>13374.24</v>
      </c>
      <c r="H102" s="76">
        <f t="shared" si="36"/>
        <v>13374.24</v>
      </c>
      <c r="I102" s="76">
        <f t="shared" si="36"/>
        <v>13374.24</v>
      </c>
      <c r="J102" s="76">
        <f t="shared" si="36"/>
        <v>13374.24</v>
      </c>
      <c r="K102" s="76">
        <f t="shared" si="36"/>
        <v>13374.24</v>
      </c>
      <c r="L102" s="76">
        <f t="shared" si="36"/>
        <v>13374.24</v>
      </c>
      <c r="M102" s="76">
        <f t="shared" si="36"/>
        <v>13374.24</v>
      </c>
      <c r="N102" s="76">
        <f t="shared" si="36"/>
        <v>13374.24</v>
      </c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</row>
    <row r="105">
      <c r="A105" s="90" t="s">
        <v>139</v>
      </c>
      <c r="B105" s="91"/>
      <c r="C105" s="92" t="s">
        <v>5</v>
      </c>
      <c r="D105" s="92" t="s">
        <v>6</v>
      </c>
      <c r="E105" s="92" t="s">
        <v>7</v>
      </c>
      <c r="F105" s="92" t="s">
        <v>8</v>
      </c>
      <c r="G105" s="92" t="s">
        <v>9</v>
      </c>
      <c r="H105" s="92" t="s">
        <v>10</v>
      </c>
      <c r="I105" s="92" t="s">
        <v>11</v>
      </c>
      <c r="J105" s="92" t="s">
        <v>12</v>
      </c>
      <c r="K105" s="92" t="s">
        <v>13</v>
      </c>
      <c r="L105" s="92" t="s">
        <v>14</v>
      </c>
      <c r="M105" s="92" t="s">
        <v>15</v>
      </c>
      <c r="N105" s="92" t="s">
        <v>16</v>
      </c>
    </row>
    <row r="106">
      <c r="A106" s="66" t="s">
        <v>74</v>
      </c>
      <c r="B106" s="67" t="s">
        <v>75</v>
      </c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>
      <c r="A107" s="68" t="s">
        <v>140</v>
      </c>
      <c r="B107" s="69" t="s">
        <v>141</v>
      </c>
      <c r="C107" s="70">
        <v>0.0</v>
      </c>
      <c r="D107" s="70">
        <v>0.0</v>
      </c>
      <c r="E107" s="70">
        <v>0.0</v>
      </c>
      <c r="F107" s="70">
        <v>10.0</v>
      </c>
      <c r="G107" s="70">
        <v>12.0</v>
      </c>
      <c r="H107" s="70">
        <v>15.0</v>
      </c>
      <c r="I107" s="70">
        <v>12.0</v>
      </c>
      <c r="J107" s="70">
        <v>12.0</v>
      </c>
      <c r="K107" s="70">
        <v>12.0</v>
      </c>
      <c r="L107" s="70">
        <v>12.0</v>
      </c>
      <c r="M107" s="70">
        <v>12.0</v>
      </c>
      <c r="N107" s="70">
        <v>12.0</v>
      </c>
    </row>
    <row r="108">
      <c r="A108" s="69" t="s">
        <v>142</v>
      </c>
      <c r="B108" s="69" t="s">
        <v>143</v>
      </c>
      <c r="C108" s="72">
        <v>350.0</v>
      </c>
      <c r="D108" s="72">
        <v>350.0</v>
      </c>
      <c r="E108" s="72">
        <v>350.0</v>
      </c>
      <c r="F108" s="72">
        <v>350.0</v>
      </c>
      <c r="G108" s="72">
        <v>350.0</v>
      </c>
      <c r="H108" s="72">
        <v>350.0</v>
      </c>
      <c r="I108" s="72">
        <v>350.0</v>
      </c>
      <c r="J108" s="72">
        <v>350.0</v>
      </c>
      <c r="K108" s="72">
        <v>350.0</v>
      </c>
      <c r="L108" s="72">
        <v>350.0</v>
      </c>
      <c r="M108" s="72">
        <v>350.0</v>
      </c>
      <c r="N108" s="72">
        <v>350.0</v>
      </c>
    </row>
    <row r="109">
      <c r="A109" s="69" t="s">
        <v>144</v>
      </c>
      <c r="B109" s="69" t="s">
        <v>145</v>
      </c>
      <c r="C109" s="71">
        <v>4.0</v>
      </c>
      <c r="D109" s="71">
        <v>4.0</v>
      </c>
      <c r="E109" s="71">
        <v>4.0</v>
      </c>
      <c r="F109" s="71">
        <v>4.0</v>
      </c>
      <c r="G109" s="71">
        <v>4.0</v>
      </c>
      <c r="H109" s="71">
        <v>4.0</v>
      </c>
      <c r="I109" s="71">
        <v>4.0</v>
      </c>
      <c r="J109" s="71">
        <v>4.0</v>
      </c>
      <c r="K109" s="71">
        <v>4.0</v>
      </c>
      <c r="L109" s="71">
        <v>4.0</v>
      </c>
      <c r="M109" s="71">
        <v>4.0</v>
      </c>
      <c r="N109" s="71">
        <v>4.0</v>
      </c>
    </row>
    <row r="110">
      <c r="A110" s="69" t="s">
        <v>86</v>
      </c>
      <c r="B110" s="69" t="s">
        <v>146</v>
      </c>
      <c r="C110" s="74">
        <v>0.4</v>
      </c>
      <c r="D110" s="74">
        <v>0.4</v>
      </c>
      <c r="E110" s="74">
        <v>0.4</v>
      </c>
      <c r="F110" s="74">
        <v>0.4</v>
      </c>
      <c r="G110" s="74">
        <v>0.4</v>
      </c>
      <c r="H110" s="74">
        <v>0.4</v>
      </c>
      <c r="I110" s="74">
        <v>0.4</v>
      </c>
      <c r="J110" s="74">
        <v>0.4</v>
      </c>
      <c r="K110" s="74">
        <v>0.4</v>
      </c>
      <c r="L110" s="74">
        <v>0.4</v>
      </c>
      <c r="M110" s="74">
        <v>0.4</v>
      </c>
      <c r="N110" s="74">
        <v>0.4</v>
      </c>
    </row>
    <row r="111">
      <c r="A111" s="69" t="s">
        <v>147</v>
      </c>
      <c r="B111" s="69" t="s">
        <v>127</v>
      </c>
      <c r="C111" s="74">
        <v>0.0</v>
      </c>
      <c r="D111" s="74">
        <v>0.0</v>
      </c>
      <c r="E111" s="74">
        <v>0.0</v>
      </c>
      <c r="F111" s="74">
        <v>0.0</v>
      </c>
      <c r="G111" s="74">
        <v>0.0</v>
      </c>
      <c r="H111" s="74">
        <v>0.0</v>
      </c>
      <c r="I111" s="74">
        <v>0.0</v>
      </c>
      <c r="J111" s="74">
        <v>0.0</v>
      </c>
      <c r="K111" s="74">
        <v>0.0</v>
      </c>
      <c r="L111" s="74">
        <v>0.0</v>
      </c>
      <c r="M111" s="74">
        <v>0.0</v>
      </c>
      <c r="N111" s="74">
        <v>0.0</v>
      </c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</row>
    <row r="113">
      <c r="A113" s="66" t="s">
        <v>90</v>
      </c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</row>
    <row r="114">
      <c r="A114" s="69" t="s">
        <v>92</v>
      </c>
      <c r="B114" s="93"/>
      <c r="C114" s="76">
        <f t="shared" ref="C114:N114" si="37">C107*C108</f>
        <v>0</v>
      </c>
      <c r="D114" s="76">
        <f t="shared" si="37"/>
        <v>0</v>
      </c>
      <c r="E114" s="76">
        <f t="shared" si="37"/>
        <v>0</v>
      </c>
      <c r="F114" s="76">
        <f t="shared" si="37"/>
        <v>3500</v>
      </c>
      <c r="G114" s="76">
        <f t="shared" si="37"/>
        <v>4200</v>
      </c>
      <c r="H114" s="76">
        <f t="shared" si="37"/>
        <v>5250</v>
      </c>
      <c r="I114" s="76">
        <f t="shared" si="37"/>
        <v>4200</v>
      </c>
      <c r="J114" s="76">
        <f t="shared" si="37"/>
        <v>4200</v>
      </c>
      <c r="K114" s="76">
        <f t="shared" si="37"/>
        <v>4200</v>
      </c>
      <c r="L114" s="76">
        <f t="shared" si="37"/>
        <v>4200</v>
      </c>
      <c r="M114" s="76">
        <f t="shared" si="37"/>
        <v>4200</v>
      </c>
      <c r="N114" s="76">
        <f t="shared" si="37"/>
        <v>4200</v>
      </c>
    </row>
    <row r="115">
      <c r="A115" s="69" t="s">
        <v>93</v>
      </c>
      <c r="B115" s="55"/>
      <c r="C115" s="72">
        <f t="shared" ref="C115:N115" si="38">C114*C110</f>
        <v>0</v>
      </c>
      <c r="D115" s="72">
        <f t="shared" si="38"/>
        <v>0</v>
      </c>
      <c r="E115" s="72">
        <f t="shared" si="38"/>
        <v>0</v>
      </c>
      <c r="F115" s="72">
        <f t="shared" si="38"/>
        <v>1400</v>
      </c>
      <c r="G115" s="72">
        <f t="shared" si="38"/>
        <v>1680</v>
      </c>
      <c r="H115" s="72">
        <f t="shared" si="38"/>
        <v>2100</v>
      </c>
      <c r="I115" s="72">
        <f t="shared" si="38"/>
        <v>1680</v>
      </c>
      <c r="J115" s="72">
        <f t="shared" si="38"/>
        <v>1680</v>
      </c>
      <c r="K115" s="72">
        <f t="shared" si="38"/>
        <v>1680</v>
      </c>
      <c r="L115" s="72">
        <f t="shared" si="38"/>
        <v>1680</v>
      </c>
      <c r="M115" s="72">
        <f t="shared" si="38"/>
        <v>1680</v>
      </c>
      <c r="N115" s="72">
        <f t="shared" si="38"/>
        <v>1680</v>
      </c>
    </row>
    <row r="116">
      <c r="A116" s="69" t="s">
        <v>148</v>
      </c>
      <c r="B116" s="55"/>
      <c r="C116" s="72">
        <f t="shared" ref="C116:N116" si="39">C114*C111</f>
        <v>0</v>
      </c>
      <c r="D116" s="72">
        <f t="shared" si="39"/>
        <v>0</v>
      </c>
      <c r="E116" s="72">
        <f t="shared" si="39"/>
        <v>0</v>
      </c>
      <c r="F116" s="72">
        <f t="shared" si="39"/>
        <v>0</v>
      </c>
      <c r="G116" s="72">
        <f t="shared" si="39"/>
        <v>0</v>
      </c>
      <c r="H116" s="72">
        <f t="shared" si="39"/>
        <v>0</v>
      </c>
      <c r="I116" s="72">
        <f t="shared" si="39"/>
        <v>0</v>
      </c>
      <c r="J116" s="72">
        <f t="shared" si="39"/>
        <v>0</v>
      </c>
      <c r="K116" s="72">
        <f t="shared" si="39"/>
        <v>0</v>
      </c>
      <c r="L116" s="72">
        <f t="shared" si="39"/>
        <v>0</v>
      </c>
      <c r="M116" s="72">
        <f t="shared" si="39"/>
        <v>0</v>
      </c>
      <c r="N116" s="72">
        <f t="shared" si="39"/>
        <v>0</v>
      </c>
    </row>
    <row r="117">
      <c r="A117" s="69" t="s">
        <v>95</v>
      </c>
      <c r="B117" s="55"/>
      <c r="C117" s="77">
        <f t="shared" ref="C117:N117" si="40">C114-C115-C116</f>
        <v>0</v>
      </c>
      <c r="D117" s="77">
        <f t="shared" si="40"/>
        <v>0</v>
      </c>
      <c r="E117" s="77">
        <f t="shared" si="40"/>
        <v>0</v>
      </c>
      <c r="F117" s="77">
        <f t="shared" si="40"/>
        <v>2100</v>
      </c>
      <c r="G117" s="77">
        <f t="shared" si="40"/>
        <v>2520</v>
      </c>
      <c r="H117" s="77">
        <f t="shared" si="40"/>
        <v>3150</v>
      </c>
      <c r="I117" s="77">
        <f t="shared" si="40"/>
        <v>2520</v>
      </c>
      <c r="J117" s="77">
        <f t="shared" si="40"/>
        <v>2520</v>
      </c>
      <c r="K117" s="77">
        <f t="shared" si="40"/>
        <v>2520</v>
      </c>
      <c r="L117" s="77">
        <f t="shared" si="40"/>
        <v>2520</v>
      </c>
      <c r="M117" s="77">
        <f t="shared" si="40"/>
        <v>2520</v>
      </c>
      <c r="N117" s="77">
        <f t="shared" si="40"/>
        <v>2520</v>
      </c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</row>
    <row r="119">
      <c r="A119" s="66" t="s">
        <v>96</v>
      </c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</row>
    <row r="120">
      <c r="A120" s="68" t="s">
        <v>98</v>
      </c>
      <c r="B120" s="55"/>
      <c r="C120" s="75">
        <f t="shared" ref="C120:N120" si="41">C107*C109</f>
        <v>0</v>
      </c>
      <c r="D120" s="75">
        <f t="shared" si="41"/>
        <v>0</v>
      </c>
      <c r="E120" s="75">
        <f t="shared" si="41"/>
        <v>0</v>
      </c>
      <c r="F120" s="75">
        <f t="shared" si="41"/>
        <v>40</v>
      </c>
      <c r="G120" s="75">
        <f t="shared" si="41"/>
        <v>48</v>
      </c>
      <c r="H120" s="75">
        <f t="shared" si="41"/>
        <v>60</v>
      </c>
      <c r="I120" s="75">
        <f t="shared" si="41"/>
        <v>48</v>
      </c>
      <c r="J120" s="75">
        <f t="shared" si="41"/>
        <v>48</v>
      </c>
      <c r="K120" s="75">
        <f t="shared" si="41"/>
        <v>48</v>
      </c>
      <c r="L120" s="75">
        <f t="shared" si="41"/>
        <v>48</v>
      </c>
      <c r="M120" s="75">
        <f t="shared" si="41"/>
        <v>48</v>
      </c>
      <c r="N120" s="75">
        <f t="shared" si="41"/>
        <v>48</v>
      </c>
    </row>
    <row r="121">
      <c r="A121" s="69" t="s">
        <v>99</v>
      </c>
      <c r="B121" s="55"/>
      <c r="C121" s="79">
        <f t="shared" ref="C121:N121" si="42">C120/160</f>
        <v>0</v>
      </c>
      <c r="D121" s="79">
        <f t="shared" si="42"/>
        <v>0</v>
      </c>
      <c r="E121" s="79">
        <f t="shared" si="42"/>
        <v>0</v>
      </c>
      <c r="F121" s="79">
        <f t="shared" si="42"/>
        <v>0.25</v>
      </c>
      <c r="G121" s="79">
        <f t="shared" si="42"/>
        <v>0.3</v>
      </c>
      <c r="H121" s="79">
        <f t="shared" si="42"/>
        <v>0.375</v>
      </c>
      <c r="I121" s="79">
        <f t="shared" si="42"/>
        <v>0.3</v>
      </c>
      <c r="J121" s="79">
        <f t="shared" si="42"/>
        <v>0.3</v>
      </c>
      <c r="K121" s="79">
        <f t="shared" si="42"/>
        <v>0.3</v>
      </c>
      <c r="L121" s="79">
        <f t="shared" si="42"/>
        <v>0.3</v>
      </c>
      <c r="M121" s="79">
        <f t="shared" si="42"/>
        <v>0.3</v>
      </c>
      <c r="N121" s="79">
        <f t="shared" si="42"/>
        <v>0.3</v>
      </c>
    </row>
    <row r="122">
      <c r="A122" s="69" t="s">
        <v>100</v>
      </c>
      <c r="B122" s="55"/>
      <c r="C122" s="76" t="str">
        <f t="shared" ref="C122:N122" si="43">C117/C121</f>
        <v>#DIV/0!</v>
      </c>
      <c r="D122" s="76" t="str">
        <f t="shared" si="43"/>
        <v>#DIV/0!</v>
      </c>
      <c r="E122" s="76" t="str">
        <f t="shared" si="43"/>
        <v>#DIV/0!</v>
      </c>
      <c r="F122" s="76">
        <f t="shared" si="43"/>
        <v>8400</v>
      </c>
      <c r="G122" s="76">
        <f t="shared" si="43"/>
        <v>8400</v>
      </c>
      <c r="H122" s="76">
        <f t="shared" si="43"/>
        <v>8400</v>
      </c>
      <c r="I122" s="76">
        <f t="shared" si="43"/>
        <v>8400</v>
      </c>
      <c r="J122" s="76">
        <f t="shared" si="43"/>
        <v>8400</v>
      </c>
      <c r="K122" s="76">
        <f t="shared" si="43"/>
        <v>8400</v>
      </c>
      <c r="L122" s="76">
        <f t="shared" si="43"/>
        <v>8400</v>
      </c>
      <c r="M122" s="76">
        <f t="shared" si="43"/>
        <v>8400</v>
      </c>
      <c r="N122" s="76">
        <f t="shared" si="43"/>
        <v>8400</v>
      </c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</row>
    <row r="124">
      <c r="A124" s="94" t="s">
        <v>149</v>
      </c>
      <c r="B124" s="95"/>
      <c r="C124" s="96" t="s">
        <v>5</v>
      </c>
      <c r="D124" s="96" t="s">
        <v>6</v>
      </c>
      <c r="E124" s="96" t="s">
        <v>7</v>
      </c>
      <c r="F124" s="96" t="s">
        <v>8</v>
      </c>
      <c r="G124" s="96" t="s">
        <v>9</v>
      </c>
      <c r="H124" s="96" t="s">
        <v>10</v>
      </c>
      <c r="I124" s="96" t="s">
        <v>11</v>
      </c>
      <c r="J124" s="96" t="s">
        <v>12</v>
      </c>
      <c r="K124" s="96" t="s">
        <v>13</v>
      </c>
      <c r="L124" s="96" t="s">
        <v>14</v>
      </c>
      <c r="M124" s="96" t="s">
        <v>15</v>
      </c>
      <c r="N124" s="96" t="s">
        <v>16</v>
      </c>
    </row>
    <row r="125">
      <c r="A125" s="66" t="s">
        <v>74</v>
      </c>
      <c r="B125" s="67" t="s">
        <v>75</v>
      </c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</row>
    <row r="126">
      <c r="A126" s="68" t="s">
        <v>150</v>
      </c>
      <c r="B126" s="68" t="s">
        <v>151</v>
      </c>
      <c r="C126" s="70">
        <v>0.0</v>
      </c>
      <c r="D126" s="70">
        <v>0.0</v>
      </c>
      <c r="E126" s="70">
        <v>0.0</v>
      </c>
      <c r="F126" s="70">
        <v>2.0</v>
      </c>
      <c r="G126" s="70">
        <v>2.0</v>
      </c>
      <c r="H126" s="70">
        <v>2.0</v>
      </c>
      <c r="I126" s="70">
        <v>2.0</v>
      </c>
      <c r="J126" s="70">
        <v>2.0</v>
      </c>
      <c r="K126" s="70">
        <v>2.0</v>
      </c>
      <c r="L126" s="70">
        <v>3.0</v>
      </c>
      <c r="M126" s="70">
        <v>4.0</v>
      </c>
      <c r="N126" s="70">
        <v>4.0</v>
      </c>
    </row>
    <row r="127">
      <c r="A127" s="68" t="s">
        <v>152</v>
      </c>
      <c r="B127" s="68" t="s">
        <v>153</v>
      </c>
      <c r="C127" s="97">
        <v>500.0</v>
      </c>
      <c r="D127" s="97">
        <v>500.0</v>
      </c>
      <c r="E127" s="97">
        <v>500.0</v>
      </c>
      <c r="F127" s="97">
        <v>500.0</v>
      </c>
      <c r="G127" s="97">
        <v>500.0</v>
      </c>
      <c r="H127" s="97">
        <v>500.0</v>
      </c>
      <c r="I127" s="97">
        <v>500.0</v>
      </c>
      <c r="J127" s="97">
        <v>500.0</v>
      </c>
      <c r="K127" s="97">
        <v>500.0</v>
      </c>
      <c r="L127" s="97">
        <v>500.0</v>
      </c>
      <c r="M127" s="97">
        <v>500.0</v>
      </c>
      <c r="N127" s="97">
        <v>500.0</v>
      </c>
    </row>
    <row r="128">
      <c r="A128" s="68" t="s">
        <v>154</v>
      </c>
      <c r="B128" s="68" t="s">
        <v>155</v>
      </c>
      <c r="C128" s="70">
        <v>5.0</v>
      </c>
      <c r="D128" s="70">
        <v>5.0</v>
      </c>
      <c r="E128" s="70">
        <v>5.0</v>
      </c>
      <c r="F128" s="70">
        <v>5.0</v>
      </c>
      <c r="G128" s="70">
        <v>5.0</v>
      </c>
      <c r="H128" s="70">
        <v>5.0</v>
      </c>
      <c r="I128" s="70">
        <v>5.0</v>
      </c>
      <c r="J128" s="70">
        <v>5.0</v>
      </c>
      <c r="K128" s="70">
        <v>5.0</v>
      </c>
      <c r="L128" s="70">
        <v>5.0</v>
      </c>
      <c r="M128" s="70">
        <v>5.0</v>
      </c>
      <c r="N128" s="70">
        <v>5.0</v>
      </c>
    </row>
    <row r="129">
      <c r="A129" s="69" t="s">
        <v>86</v>
      </c>
      <c r="B129" s="69"/>
      <c r="C129" s="74">
        <v>0.0</v>
      </c>
      <c r="D129" s="74">
        <v>0.0</v>
      </c>
      <c r="E129" s="74">
        <v>0.0</v>
      </c>
      <c r="F129" s="74">
        <v>0.0</v>
      </c>
      <c r="G129" s="74">
        <v>0.0</v>
      </c>
      <c r="H129" s="74">
        <v>0.0</v>
      </c>
      <c r="I129" s="74">
        <v>0.0</v>
      </c>
      <c r="J129" s="74">
        <v>0.0</v>
      </c>
      <c r="K129" s="74">
        <v>0.0</v>
      </c>
      <c r="L129" s="74">
        <v>0.0</v>
      </c>
      <c r="M129" s="74">
        <v>0.0</v>
      </c>
      <c r="N129" s="74">
        <v>0.0</v>
      </c>
    </row>
    <row r="130">
      <c r="A130" s="69" t="s">
        <v>147</v>
      </c>
      <c r="B130" s="69" t="s">
        <v>127</v>
      </c>
      <c r="C130" s="74">
        <v>0.0</v>
      </c>
      <c r="D130" s="74">
        <v>0.0</v>
      </c>
      <c r="E130" s="74">
        <v>0.0</v>
      </c>
      <c r="F130" s="74">
        <v>0.0</v>
      </c>
      <c r="G130" s="74">
        <v>0.0</v>
      </c>
      <c r="H130" s="74">
        <v>0.0</v>
      </c>
      <c r="I130" s="74">
        <v>0.0</v>
      </c>
      <c r="J130" s="74">
        <v>0.0</v>
      </c>
      <c r="K130" s="74">
        <v>0.0</v>
      </c>
      <c r="L130" s="74">
        <v>0.0</v>
      </c>
      <c r="M130" s="74">
        <v>0.0</v>
      </c>
      <c r="N130" s="74">
        <v>0.0</v>
      </c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</row>
    <row r="132">
      <c r="A132" s="66" t="s">
        <v>90</v>
      </c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</row>
    <row r="133">
      <c r="A133" s="69" t="s">
        <v>92</v>
      </c>
      <c r="B133" s="93"/>
      <c r="C133" s="76">
        <f t="shared" ref="C133:N133" si="44">C126*C127</f>
        <v>0</v>
      </c>
      <c r="D133" s="76">
        <f t="shared" si="44"/>
        <v>0</v>
      </c>
      <c r="E133" s="76">
        <f t="shared" si="44"/>
        <v>0</v>
      </c>
      <c r="F133" s="76">
        <f t="shared" si="44"/>
        <v>1000</v>
      </c>
      <c r="G133" s="76">
        <f t="shared" si="44"/>
        <v>1000</v>
      </c>
      <c r="H133" s="76">
        <f t="shared" si="44"/>
        <v>1000</v>
      </c>
      <c r="I133" s="76">
        <f t="shared" si="44"/>
        <v>1000</v>
      </c>
      <c r="J133" s="76">
        <f t="shared" si="44"/>
        <v>1000</v>
      </c>
      <c r="K133" s="76">
        <f t="shared" si="44"/>
        <v>1000</v>
      </c>
      <c r="L133" s="76">
        <f t="shared" si="44"/>
        <v>1500</v>
      </c>
      <c r="M133" s="76">
        <f t="shared" si="44"/>
        <v>2000</v>
      </c>
      <c r="N133" s="76">
        <f t="shared" si="44"/>
        <v>2000</v>
      </c>
    </row>
    <row r="134">
      <c r="A134" s="69" t="s">
        <v>93</v>
      </c>
      <c r="B134" s="55"/>
      <c r="C134" s="72">
        <f t="shared" ref="C134:N134" si="45">C133*C129</f>
        <v>0</v>
      </c>
      <c r="D134" s="72">
        <f t="shared" si="45"/>
        <v>0</v>
      </c>
      <c r="E134" s="72">
        <f t="shared" si="45"/>
        <v>0</v>
      </c>
      <c r="F134" s="72">
        <f t="shared" si="45"/>
        <v>0</v>
      </c>
      <c r="G134" s="72">
        <f t="shared" si="45"/>
        <v>0</v>
      </c>
      <c r="H134" s="72">
        <f t="shared" si="45"/>
        <v>0</v>
      </c>
      <c r="I134" s="72">
        <f t="shared" si="45"/>
        <v>0</v>
      </c>
      <c r="J134" s="72">
        <f t="shared" si="45"/>
        <v>0</v>
      </c>
      <c r="K134" s="72">
        <f t="shared" si="45"/>
        <v>0</v>
      </c>
      <c r="L134" s="72">
        <f t="shared" si="45"/>
        <v>0</v>
      </c>
      <c r="M134" s="72">
        <f t="shared" si="45"/>
        <v>0</v>
      </c>
      <c r="N134" s="72">
        <f t="shared" si="45"/>
        <v>0</v>
      </c>
    </row>
    <row r="135">
      <c r="A135" s="69" t="s">
        <v>148</v>
      </c>
      <c r="B135" s="55"/>
      <c r="C135" s="72">
        <f t="shared" ref="C135:N135" si="46">C133*C130</f>
        <v>0</v>
      </c>
      <c r="D135" s="72">
        <f t="shared" si="46"/>
        <v>0</v>
      </c>
      <c r="E135" s="72">
        <f t="shared" si="46"/>
        <v>0</v>
      </c>
      <c r="F135" s="72">
        <f t="shared" si="46"/>
        <v>0</v>
      </c>
      <c r="G135" s="72">
        <f t="shared" si="46"/>
        <v>0</v>
      </c>
      <c r="H135" s="72">
        <f t="shared" si="46"/>
        <v>0</v>
      </c>
      <c r="I135" s="72">
        <f t="shared" si="46"/>
        <v>0</v>
      </c>
      <c r="J135" s="72">
        <f t="shared" si="46"/>
        <v>0</v>
      </c>
      <c r="K135" s="72">
        <f t="shared" si="46"/>
        <v>0</v>
      </c>
      <c r="L135" s="72">
        <f t="shared" si="46"/>
        <v>0</v>
      </c>
      <c r="M135" s="72">
        <f t="shared" si="46"/>
        <v>0</v>
      </c>
      <c r="N135" s="72">
        <f t="shared" si="46"/>
        <v>0</v>
      </c>
    </row>
    <row r="136">
      <c r="A136" s="69" t="s">
        <v>95</v>
      </c>
      <c r="B136" s="55"/>
      <c r="C136" s="77">
        <f t="shared" ref="C136:N136" si="47">C133-C134-C135</f>
        <v>0</v>
      </c>
      <c r="D136" s="77">
        <f t="shared" si="47"/>
        <v>0</v>
      </c>
      <c r="E136" s="77">
        <f t="shared" si="47"/>
        <v>0</v>
      </c>
      <c r="F136" s="77">
        <f t="shared" si="47"/>
        <v>1000</v>
      </c>
      <c r="G136" s="77">
        <f t="shared" si="47"/>
        <v>1000</v>
      </c>
      <c r="H136" s="77">
        <f t="shared" si="47"/>
        <v>1000</v>
      </c>
      <c r="I136" s="77">
        <f t="shared" si="47"/>
        <v>1000</v>
      </c>
      <c r="J136" s="77">
        <f t="shared" si="47"/>
        <v>1000</v>
      </c>
      <c r="K136" s="77">
        <f t="shared" si="47"/>
        <v>1000</v>
      </c>
      <c r="L136" s="77">
        <f t="shared" si="47"/>
        <v>1500</v>
      </c>
      <c r="M136" s="77">
        <f t="shared" si="47"/>
        <v>2000</v>
      </c>
      <c r="N136" s="77">
        <f t="shared" si="47"/>
        <v>2000</v>
      </c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</row>
    <row r="138">
      <c r="A138" s="66" t="s">
        <v>96</v>
      </c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</row>
    <row r="139">
      <c r="A139" s="68" t="s">
        <v>98</v>
      </c>
      <c r="B139" s="55"/>
      <c r="C139" s="75">
        <f t="shared" ref="C139:N139" si="48">C126*C128</f>
        <v>0</v>
      </c>
      <c r="D139" s="75">
        <f t="shared" si="48"/>
        <v>0</v>
      </c>
      <c r="E139" s="75">
        <f t="shared" si="48"/>
        <v>0</v>
      </c>
      <c r="F139" s="75">
        <f t="shared" si="48"/>
        <v>10</v>
      </c>
      <c r="G139" s="75">
        <f t="shared" si="48"/>
        <v>10</v>
      </c>
      <c r="H139" s="75">
        <f t="shared" si="48"/>
        <v>10</v>
      </c>
      <c r="I139" s="75">
        <f t="shared" si="48"/>
        <v>10</v>
      </c>
      <c r="J139" s="75">
        <f t="shared" si="48"/>
        <v>10</v>
      </c>
      <c r="K139" s="75">
        <f t="shared" si="48"/>
        <v>10</v>
      </c>
      <c r="L139" s="75">
        <f t="shared" si="48"/>
        <v>15</v>
      </c>
      <c r="M139" s="75">
        <f t="shared" si="48"/>
        <v>20</v>
      </c>
      <c r="N139" s="75">
        <f t="shared" si="48"/>
        <v>20</v>
      </c>
    </row>
    <row r="140">
      <c r="A140" s="69" t="s">
        <v>99</v>
      </c>
      <c r="B140" s="55"/>
      <c r="C140" s="79">
        <f t="shared" ref="C140:N140" si="49">C139/160</f>
        <v>0</v>
      </c>
      <c r="D140" s="79">
        <f t="shared" si="49"/>
        <v>0</v>
      </c>
      <c r="E140" s="79">
        <f t="shared" si="49"/>
        <v>0</v>
      </c>
      <c r="F140" s="79">
        <f t="shared" si="49"/>
        <v>0.0625</v>
      </c>
      <c r="G140" s="79">
        <f t="shared" si="49"/>
        <v>0.0625</v>
      </c>
      <c r="H140" s="79">
        <f t="shared" si="49"/>
        <v>0.0625</v>
      </c>
      <c r="I140" s="79">
        <f t="shared" si="49"/>
        <v>0.0625</v>
      </c>
      <c r="J140" s="79">
        <f t="shared" si="49"/>
        <v>0.0625</v>
      </c>
      <c r="K140" s="79">
        <f t="shared" si="49"/>
        <v>0.0625</v>
      </c>
      <c r="L140" s="79">
        <f t="shared" si="49"/>
        <v>0.09375</v>
      </c>
      <c r="M140" s="79">
        <f t="shared" si="49"/>
        <v>0.125</v>
      </c>
      <c r="N140" s="79">
        <f t="shared" si="49"/>
        <v>0.125</v>
      </c>
    </row>
    <row r="141">
      <c r="A141" s="69" t="s">
        <v>100</v>
      </c>
      <c r="B141" s="55"/>
      <c r="C141" s="76" t="str">
        <f t="shared" ref="C141:N141" si="50">C136/C140</f>
        <v>#DIV/0!</v>
      </c>
      <c r="D141" s="76" t="str">
        <f t="shared" si="50"/>
        <v>#DIV/0!</v>
      </c>
      <c r="E141" s="76" t="str">
        <f t="shared" si="50"/>
        <v>#DIV/0!</v>
      </c>
      <c r="F141" s="76">
        <f t="shared" si="50"/>
        <v>16000</v>
      </c>
      <c r="G141" s="76">
        <f t="shared" si="50"/>
        <v>16000</v>
      </c>
      <c r="H141" s="76">
        <f t="shared" si="50"/>
        <v>16000</v>
      </c>
      <c r="I141" s="76">
        <f t="shared" si="50"/>
        <v>16000</v>
      </c>
      <c r="J141" s="76">
        <f t="shared" si="50"/>
        <v>16000</v>
      </c>
      <c r="K141" s="76">
        <f t="shared" si="50"/>
        <v>16000</v>
      </c>
      <c r="L141" s="76">
        <f t="shared" si="50"/>
        <v>16000</v>
      </c>
      <c r="M141" s="76">
        <f t="shared" si="50"/>
        <v>16000</v>
      </c>
      <c r="N141" s="76">
        <f t="shared" si="50"/>
        <v>16000</v>
      </c>
    </row>
    <row r="142">
      <c r="A142" s="55"/>
      <c r="B142" s="55"/>
      <c r="C142" s="55"/>
    </row>
    <row r="143">
      <c r="A143" s="55"/>
      <c r="B143" s="55"/>
      <c r="C143" s="55"/>
    </row>
    <row r="144">
      <c r="A144" s="98" t="s">
        <v>156</v>
      </c>
      <c r="B144" s="99"/>
      <c r="C144" s="100" t="s">
        <v>5</v>
      </c>
      <c r="D144" s="100" t="s">
        <v>6</v>
      </c>
      <c r="E144" s="100" t="s">
        <v>7</v>
      </c>
      <c r="F144" s="100" t="s">
        <v>8</v>
      </c>
      <c r="G144" s="100" t="s">
        <v>9</v>
      </c>
      <c r="H144" s="100" t="s">
        <v>10</v>
      </c>
      <c r="I144" s="100" t="s">
        <v>11</v>
      </c>
      <c r="J144" s="100" t="s">
        <v>12</v>
      </c>
      <c r="K144" s="100" t="s">
        <v>13</v>
      </c>
      <c r="L144" s="100" t="s">
        <v>14</v>
      </c>
      <c r="M144" s="100" t="s">
        <v>15</v>
      </c>
      <c r="N144" s="100" t="s">
        <v>16</v>
      </c>
    </row>
    <row r="145">
      <c r="A145" s="67" t="s">
        <v>157</v>
      </c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</row>
    <row r="146">
      <c r="A146" s="69" t="s">
        <v>158</v>
      </c>
      <c r="B146" s="101"/>
      <c r="C146" s="72">
        <f t="shared" ref="C146:N146" si="51">C26</f>
        <v>0</v>
      </c>
      <c r="D146" s="72">
        <f t="shared" si="51"/>
        <v>0</v>
      </c>
      <c r="E146" s="72">
        <f t="shared" si="51"/>
        <v>0</v>
      </c>
      <c r="F146" s="72">
        <f t="shared" si="51"/>
        <v>10530</v>
      </c>
      <c r="G146" s="72">
        <f t="shared" si="51"/>
        <v>10530</v>
      </c>
      <c r="H146" s="72">
        <f t="shared" si="51"/>
        <v>10530</v>
      </c>
      <c r="I146" s="72">
        <f t="shared" si="51"/>
        <v>10530</v>
      </c>
      <c r="J146" s="72">
        <f t="shared" si="51"/>
        <v>10530</v>
      </c>
      <c r="K146" s="72">
        <f t="shared" si="51"/>
        <v>10530</v>
      </c>
      <c r="L146" s="72">
        <f t="shared" si="51"/>
        <v>10530</v>
      </c>
      <c r="M146" s="72">
        <f t="shared" si="51"/>
        <v>10530</v>
      </c>
      <c r="N146" s="72">
        <f t="shared" si="51"/>
        <v>4212</v>
      </c>
    </row>
    <row r="147">
      <c r="A147" s="69" t="s">
        <v>159</v>
      </c>
      <c r="B147" s="101"/>
      <c r="C147" s="72">
        <f t="shared" ref="C147:N147" si="52">C50</f>
        <v>0</v>
      </c>
      <c r="D147" s="72">
        <f t="shared" si="52"/>
        <v>0</v>
      </c>
      <c r="E147" s="72">
        <f t="shared" si="52"/>
        <v>0</v>
      </c>
      <c r="F147" s="72">
        <f t="shared" si="52"/>
        <v>2288</v>
      </c>
      <c r="G147" s="72">
        <f t="shared" si="52"/>
        <v>2288</v>
      </c>
      <c r="H147" s="72">
        <f t="shared" si="52"/>
        <v>2288</v>
      </c>
      <c r="I147" s="72">
        <f t="shared" si="52"/>
        <v>2288</v>
      </c>
      <c r="J147" s="72">
        <f t="shared" si="52"/>
        <v>2288</v>
      </c>
      <c r="K147" s="72">
        <f t="shared" si="52"/>
        <v>2288</v>
      </c>
      <c r="L147" s="72">
        <f t="shared" si="52"/>
        <v>2288</v>
      </c>
      <c r="M147" s="72">
        <f t="shared" si="52"/>
        <v>2288</v>
      </c>
      <c r="N147" s="72">
        <f t="shared" si="52"/>
        <v>2288</v>
      </c>
    </row>
    <row r="148">
      <c r="A148" s="69" t="s">
        <v>160</v>
      </c>
      <c r="B148" s="101"/>
      <c r="C148" s="72">
        <f t="shared" ref="C148:N148" si="53">C74</f>
        <v>0</v>
      </c>
      <c r="D148" s="72">
        <f t="shared" si="53"/>
        <v>0</v>
      </c>
      <c r="E148" s="72">
        <f t="shared" si="53"/>
        <v>0</v>
      </c>
      <c r="F148" s="72">
        <f t="shared" si="53"/>
        <v>2520</v>
      </c>
      <c r="G148" s="72">
        <f t="shared" si="53"/>
        <v>2880</v>
      </c>
      <c r="H148" s="72">
        <f t="shared" si="53"/>
        <v>1800</v>
      </c>
      <c r="I148" s="72">
        <f t="shared" si="53"/>
        <v>0</v>
      </c>
      <c r="J148" s="72">
        <f t="shared" si="53"/>
        <v>0</v>
      </c>
      <c r="K148" s="72">
        <f t="shared" si="53"/>
        <v>2880</v>
      </c>
      <c r="L148" s="72">
        <f t="shared" si="53"/>
        <v>3240</v>
      </c>
      <c r="M148" s="72">
        <f t="shared" si="53"/>
        <v>3960</v>
      </c>
      <c r="N148" s="72">
        <f t="shared" si="53"/>
        <v>2520</v>
      </c>
    </row>
    <row r="149">
      <c r="A149" s="69" t="s">
        <v>161</v>
      </c>
      <c r="B149" s="101"/>
      <c r="C149" s="72">
        <f t="shared" ref="C149:N149" si="54">C97</f>
        <v>0</v>
      </c>
      <c r="D149" s="72">
        <f t="shared" si="54"/>
        <v>0</v>
      </c>
      <c r="E149" s="72">
        <f t="shared" si="54"/>
        <v>0</v>
      </c>
      <c r="F149" s="72">
        <f t="shared" si="54"/>
        <v>6687.12</v>
      </c>
      <c r="G149" s="72">
        <f t="shared" si="54"/>
        <v>6687.12</v>
      </c>
      <c r="H149" s="72">
        <f t="shared" si="54"/>
        <v>6687.12</v>
      </c>
      <c r="I149" s="72">
        <f t="shared" si="54"/>
        <v>6687.12</v>
      </c>
      <c r="J149" s="72">
        <f t="shared" si="54"/>
        <v>3343.56</v>
      </c>
      <c r="K149" s="72">
        <f t="shared" si="54"/>
        <v>3343.56</v>
      </c>
      <c r="L149" s="72">
        <f t="shared" si="54"/>
        <v>6687.12</v>
      </c>
      <c r="M149" s="72">
        <f t="shared" si="54"/>
        <v>6687.12</v>
      </c>
      <c r="N149" s="72">
        <f t="shared" si="54"/>
        <v>6687.12</v>
      </c>
    </row>
    <row r="150">
      <c r="A150" s="69" t="s">
        <v>162</v>
      </c>
      <c r="B150" s="101"/>
      <c r="C150" s="72">
        <f t="shared" ref="C150:N150" si="55">C117</f>
        <v>0</v>
      </c>
      <c r="D150" s="72">
        <f t="shared" si="55"/>
        <v>0</v>
      </c>
      <c r="E150" s="72">
        <f t="shared" si="55"/>
        <v>0</v>
      </c>
      <c r="F150" s="72">
        <f t="shared" si="55"/>
        <v>2100</v>
      </c>
      <c r="G150" s="72">
        <f t="shared" si="55"/>
        <v>2520</v>
      </c>
      <c r="H150" s="72">
        <f t="shared" si="55"/>
        <v>3150</v>
      </c>
      <c r="I150" s="72">
        <f t="shared" si="55"/>
        <v>2520</v>
      </c>
      <c r="J150" s="72">
        <f t="shared" si="55"/>
        <v>2520</v>
      </c>
      <c r="K150" s="72">
        <f t="shared" si="55"/>
        <v>2520</v>
      </c>
      <c r="L150" s="72">
        <f t="shared" si="55"/>
        <v>2520</v>
      </c>
      <c r="M150" s="72">
        <f t="shared" si="55"/>
        <v>2520</v>
      </c>
      <c r="N150" s="72">
        <f t="shared" si="55"/>
        <v>2520</v>
      </c>
    </row>
    <row r="151">
      <c r="A151" s="68" t="s">
        <v>163</v>
      </c>
      <c r="B151" s="79"/>
      <c r="C151" s="72">
        <f t="shared" ref="C151:N151" si="56">C136</f>
        <v>0</v>
      </c>
      <c r="D151" s="72">
        <f t="shared" si="56"/>
        <v>0</v>
      </c>
      <c r="E151" s="72">
        <f t="shared" si="56"/>
        <v>0</v>
      </c>
      <c r="F151" s="72">
        <f t="shared" si="56"/>
        <v>1000</v>
      </c>
      <c r="G151" s="72">
        <f t="shared" si="56"/>
        <v>1000</v>
      </c>
      <c r="H151" s="72">
        <f t="shared" si="56"/>
        <v>1000</v>
      </c>
      <c r="I151" s="72">
        <f t="shared" si="56"/>
        <v>1000</v>
      </c>
      <c r="J151" s="72">
        <f t="shared" si="56"/>
        <v>1000</v>
      </c>
      <c r="K151" s="72">
        <f t="shared" si="56"/>
        <v>1000</v>
      </c>
      <c r="L151" s="72">
        <f t="shared" si="56"/>
        <v>1500</v>
      </c>
      <c r="M151" s="72">
        <f t="shared" si="56"/>
        <v>2000</v>
      </c>
      <c r="N151" s="72">
        <f t="shared" si="56"/>
        <v>2000</v>
      </c>
    </row>
    <row r="152">
      <c r="A152" s="67" t="s">
        <v>164</v>
      </c>
      <c r="B152" s="79"/>
      <c r="C152" s="76">
        <f t="shared" ref="C152:N152" si="57">SUM(C146:C151)</f>
        <v>0</v>
      </c>
      <c r="D152" s="76">
        <f t="shared" si="57"/>
        <v>0</v>
      </c>
      <c r="E152" s="76">
        <f t="shared" si="57"/>
        <v>0</v>
      </c>
      <c r="F152" s="76">
        <f t="shared" si="57"/>
        <v>25125.12</v>
      </c>
      <c r="G152" s="76">
        <f t="shared" si="57"/>
        <v>25905.12</v>
      </c>
      <c r="H152" s="76">
        <f t="shared" si="57"/>
        <v>25455.12</v>
      </c>
      <c r="I152" s="76">
        <f t="shared" si="57"/>
        <v>23025.12</v>
      </c>
      <c r="J152" s="76">
        <f t="shared" si="57"/>
        <v>19681.56</v>
      </c>
      <c r="K152" s="76">
        <f t="shared" si="57"/>
        <v>22561.56</v>
      </c>
      <c r="L152" s="76">
        <f t="shared" si="57"/>
        <v>26765.12</v>
      </c>
      <c r="M152" s="76">
        <f t="shared" si="57"/>
        <v>27985.12</v>
      </c>
      <c r="N152" s="76">
        <f t="shared" si="57"/>
        <v>20227.12</v>
      </c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</row>
    <row r="154">
      <c r="A154" s="102" t="s">
        <v>165</v>
      </c>
      <c r="B154" s="103"/>
      <c r="C154" s="104" t="s">
        <v>5</v>
      </c>
      <c r="D154" s="104" t="s">
        <v>6</v>
      </c>
      <c r="E154" s="104" t="s">
        <v>7</v>
      </c>
      <c r="F154" s="104" t="s">
        <v>8</v>
      </c>
      <c r="G154" s="104" t="s">
        <v>9</v>
      </c>
      <c r="H154" s="104" t="s">
        <v>10</v>
      </c>
      <c r="I154" s="104" t="s">
        <v>11</v>
      </c>
      <c r="J154" s="104" t="s">
        <v>12</v>
      </c>
      <c r="K154" s="104" t="s">
        <v>13</v>
      </c>
      <c r="L154" s="104" t="s">
        <v>14</v>
      </c>
      <c r="M154" s="104" t="s">
        <v>15</v>
      </c>
      <c r="N154" s="104" t="s">
        <v>16</v>
      </c>
    </row>
    <row r="155">
      <c r="A155" s="69" t="s">
        <v>166</v>
      </c>
      <c r="B155" s="55"/>
      <c r="C155" s="79">
        <f t="shared" ref="C155:N155" si="58">sum(C121,C101,C79,C55,C31,C140)</f>
        <v>0</v>
      </c>
      <c r="D155" s="79">
        <f t="shared" si="58"/>
        <v>0</v>
      </c>
      <c r="E155" s="79">
        <f t="shared" si="58"/>
        <v>0</v>
      </c>
      <c r="F155" s="79">
        <f t="shared" si="58"/>
        <v>1.946875</v>
      </c>
      <c r="G155" s="79">
        <f t="shared" si="58"/>
        <v>2.0125</v>
      </c>
      <c r="H155" s="79">
        <f t="shared" si="58"/>
        <v>2.040625</v>
      </c>
      <c r="I155" s="79">
        <f t="shared" si="58"/>
        <v>1.8875</v>
      </c>
      <c r="J155" s="79">
        <f t="shared" si="58"/>
        <v>1.6375</v>
      </c>
      <c r="K155" s="79">
        <f t="shared" si="58"/>
        <v>1.7625</v>
      </c>
      <c r="L155" s="79">
        <f t="shared" si="58"/>
        <v>2.059375</v>
      </c>
      <c r="M155" s="79">
        <f t="shared" si="58"/>
        <v>2.121875</v>
      </c>
      <c r="N155" s="79">
        <f t="shared" si="58"/>
        <v>1.609375</v>
      </c>
    </row>
    <row r="156">
      <c r="A156" s="55"/>
      <c r="B156" s="55"/>
      <c r="C156" s="55"/>
    </row>
    <row r="157">
      <c r="A157" s="55"/>
      <c r="B157" s="55"/>
      <c r="C157" s="55"/>
    </row>
    <row r="158">
      <c r="A158" s="55"/>
      <c r="B158" s="55"/>
      <c r="C158" s="55"/>
    </row>
    <row r="159">
      <c r="A159" s="55"/>
      <c r="B159" s="55"/>
      <c r="C159" s="55"/>
    </row>
    <row r="160">
      <c r="A160" s="55"/>
      <c r="B160" s="55"/>
      <c r="C160" s="55"/>
    </row>
    <row r="161">
      <c r="A161" s="55"/>
      <c r="B161" s="55"/>
      <c r="C161" s="55"/>
    </row>
    <row r="162">
      <c r="A162" s="55"/>
      <c r="B162" s="55"/>
      <c r="C162" s="55"/>
    </row>
    <row r="163">
      <c r="A163" s="55"/>
      <c r="B163" s="55"/>
      <c r="C163" s="55"/>
    </row>
    <row r="164">
      <c r="A164" s="55"/>
      <c r="B164" s="55"/>
      <c r="C164" s="55"/>
    </row>
    <row r="165">
      <c r="A165" s="55"/>
      <c r="B165" s="55"/>
      <c r="C165" s="55"/>
    </row>
    <row r="166">
      <c r="A166" s="55"/>
      <c r="B166" s="55"/>
      <c r="C166" s="55"/>
    </row>
    <row r="167">
      <c r="A167" s="55"/>
      <c r="B167" s="55"/>
      <c r="C167" s="55"/>
    </row>
    <row r="168">
      <c r="A168" s="55"/>
      <c r="B168" s="55"/>
      <c r="C168" s="55"/>
    </row>
    <row r="169">
      <c r="A169" s="55"/>
      <c r="B169" s="55"/>
      <c r="C169" s="55"/>
    </row>
    <row r="170">
      <c r="A170" s="55"/>
      <c r="B170" s="55"/>
      <c r="C170" s="55"/>
    </row>
    <row r="171">
      <c r="A171" s="55"/>
      <c r="B171" s="55"/>
      <c r="C171" s="55"/>
    </row>
    <row r="172">
      <c r="A172" s="55"/>
      <c r="B172" s="55"/>
      <c r="C172" s="55"/>
    </row>
    <row r="173">
      <c r="A173" s="55"/>
      <c r="B173" s="55"/>
      <c r="C173" s="55"/>
    </row>
    <row r="174">
      <c r="A174" s="55"/>
      <c r="B174" s="55"/>
      <c r="C174" s="55"/>
    </row>
    <row r="175">
      <c r="A175" s="55"/>
      <c r="B175" s="55"/>
      <c r="C175" s="55"/>
    </row>
    <row r="176">
      <c r="A176" s="55"/>
      <c r="B176" s="55"/>
      <c r="C176" s="55"/>
    </row>
    <row r="177">
      <c r="A177" s="55"/>
      <c r="B177" s="55"/>
      <c r="C177" s="55"/>
    </row>
    <row r="178">
      <c r="A178" s="55"/>
      <c r="B178" s="55"/>
      <c r="C178" s="55"/>
    </row>
    <row r="179">
      <c r="A179" s="55"/>
      <c r="B179" s="55"/>
      <c r="C179" s="55"/>
    </row>
    <row r="180">
      <c r="A180" s="55"/>
      <c r="B180" s="55"/>
      <c r="C180" s="55"/>
    </row>
    <row r="181">
      <c r="A181" s="55"/>
      <c r="B181" s="55"/>
      <c r="C181" s="55"/>
    </row>
    <row r="182">
      <c r="A182" s="55"/>
      <c r="B182" s="55"/>
      <c r="C182" s="55"/>
    </row>
    <row r="183">
      <c r="A183" s="55"/>
      <c r="B183" s="55"/>
      <c r="C183" s="55"/>
    </row>
    <row r="184">
      <c r="A184" s="55"/>
      <c r="B184" s="55"/>
      <c r="C184" s="55"/>
    </row>
    <row r="185">
      <c r="A185" s="55"/>
      <c r="B185" s="55"/>
      <c r="C185" s="55"/>
    </row>
    <row r="186">
      <c r="A186" s="55"/>
      <c r="B186" s="55"/>
      <c r="C186" s="55"/>
    </row>
    <row r="187">
      <c r="A187" s="55"/>
      <c r="B187" s="55"/>
      <c r="C187" s="55"/>
    </row>
    <row r="188">
      <c r="A188" s="55"/>
      <c r="B188" s="55"/>
      <c r="C188" s="55"/>
    </row>
    <row r="189">
      <c r="A189" s="55"/>
      <c r="B189" s="55"/>
      <c r="C189" s="55"/>
    </row>
    <row r="190">
      <c r="A190" s="55"/>
      <c r="B190" s="55"/>
      <c r="C190" s="55"/>
    </row>
    <row r="191">
      <c r="A191" s="55"/>
      <c r="B191" s="55"/>
      <c r="C191" s="55"/>
    </row>
    <row r="192">
      <c r="A192" s="55"/>
      <c r="B192" s="55"/>
      <c r="C192" s="55"/>
    </row>
    <row r="193">
      <c r="A193" s="55"/>
      <c r="B193" s="55"/>
      <c r="C193" s="55"/>
    </row>
    <row r="194">
      <c r="A194" s="55"/>
      <c r="B194" s="55"/>
      <c r="C194" s="55"/>
    </row>
    <row r="195">
      <c r="A195" s="55"/>
      <c r="B195" s="55"/>
      <c r="C195" s="55"/>
    </row>
    <row r="196">
      <c r="A196" s="55"/>
      <c r="B196" s="55"/>
      <c r="C196" s="55"/>
    </row>
    <row r="197">
      <c r="A197" s="55"/>
      <c r="B197" s="55"/>
      <c r="C197" s="55"/>
    </row>
    <row r="198">
      <c r="A198" s="55"/>
      <c r="B198" s="55"/>
      <c r="C198" s="55"/>
    </row>
    <row r="199">
      <c r="A199" s="55"/>
      <c r="B199" s="55"/>
      <c r="C199" s="55"/>
    </row>
    <row r="200">
      <c r="A200" s="55"/>
      <c r="B200" s="55"/>
      <c r="C200" s="55"/>
    </row>
    <row r="201">
      <c r="A201" s="55"/>
      <c r="B201" s="55"/>
      <c r="C201" s="55"/>
    </row>
    <row r="202">
      <c r="A202" s="55"/>
      <c r="B202" s="55"/>
      <c r="C202" s="55"/>
    </row>
    <row r="203">
      <c r="A203" s="55"/>
      <c r="B203" s="55"/>
      <c r="C203" s="55"/>
    </row>
    <row r="204">
      <c r="A204" s="55"/>
      <c r="B204" s="55"/>
      <c r="C204" s="55"/>
    </row>
    <row r="205">
      <c r="A205" s="55"/>
      <c r="B205" s="55"/>
      <c r="C205" s="55"/>
    </row>
    <row r="206">
      <c r="A206" s="55"/>
      <c r="B206" s="55"/>
      <c r="C206" s="55"/>
    </row>
    <row r="207">
      <c r="A207" s="55"/>
      <c r="B207" s="55"/>
      <c r="C207" s="55"/>
    </row>
    <row r="208">
      <c r="A208" s="55"/>
      <c r="B208" s="55"/>
      <c r="C208" s="55"/>
    </row>
    <row r="209">
      <c r="A209" s="55"/>
      <c r="B209" s="55"/>
      <c r="C209" s="55"/>
    </row>
    <row r="210">
      <c r="A210" s="55"/>
      <c r="B210" s="55"/>
      <c r="C210" s="55"/>
    </row>
    <row r="211">
      <c r="A211" s="55"/>
      <c r="B211" s="55"/>
      <c r="C211" s="55"/>
    </row>
    <row r="212">
      <c r="A212" s="55"/>
      <c r="B212" s="55"/>
      <c r="C212" s="55"/>
    </row>
    <row r="213">
      <c r="A213" s="55"/>
      <c r="B213" s="55"/>
      <c r="C213" s="55"/>
    </row>
    <row r="214">
      <c r="A214" s="55"/>
      <c r="B214" s="55"/>
      <c r="C214" s="55"/>
    </row>
    <row r="215">
      <c r="A215" s="55"/>
      <c r="B215" s="55"/>
      <c r="C215" s="55"/>
    </row>
    <row r="216">
      <c r="A216" s="55"/>
      <c r="B216" s="55"/>
      <c r="C216" s="55"/>
    </row>
    <row r="217">
      <c r="A217" s="55"/>
      <c r="B217" s="55"/>
      <c r="C217" s="55"/>
    </row>
    <row r="218">
      <c r="A218" s="55"/>
      <c r="B218" s="55"/>
      <c r="C218" s="55"/>
    </row>
    <row r="219">
      <c r="A219" s="55"/>
      <c r="B219" s="55"/>
      <c r="C219" s="55"/>
    </row>
    <row r="220">
      <c r="A220" s="55"/>
      <c r="B220" s="55"/>
      <c r="C220" s="55"/>
    </row>
    <row r="221">
      <c r="A221" s="55"/>
      <c r="B221" s="55"/>
      <c r="C221" s="55"/>
    </row>
    <row r="222">
      <c r="A222" s="55"/>
      <c r="B222" s="55"/>
      <c r="C222" s="55"/>
    </row>
    <row r="223">
      <c r="A223" s="55"/>
      <c r="B223" s="55"/>
      <c r="C223" s="55"/>
    </row>
    <row r="224">
      <c r="A224" s="55"/>
      <c r="B224" s="55"/>
      <c r="C224" s="55"/>
    </row>
    <row r="225">
      <c r="A225" s="55"/>
      <c r="B225" s="55"/>
      <c r="C225" s="55"/>
    </row>
    <row r="226">
      <c r="A226" s="55"/>
      <c r="B226" s="55"/>
      <c r="C226" s="55"/>
    </row>
    <row r="227">
      <c r="A227" s="55"/>
      <c r="B227" s="55"/>
      <c r="C227" s="55"/>
    </row>
    <row r="228">
      <c r="A228" s="55"/>
      <c r="B228" s="55"/>
      <c r="C228" s="55"/>
    </row>
    <row r="229">
      <c r="A229" s="55"/>
      <c r="B229" s="55"/>
      <c r="C229" s="55"/>
    </row>
    <row r="230">
      <c r="A230" s="55"/>
      <c r="B230" s="55"/>
      <c r="C230" s="55"/>
    </row>
    <row r="231">
      <c r="A231" s="55"/>
      <c r="B231" s="55"/>
      <c r="C231" s="55"/>
    </row>
    <row r="232">
      <c r="A232" s="55"/>
      <c r="B232" s="55"/>
      <c r="C232" s="55"/>
    </row>
    <row r="233">
      <c r="A233" s="55"/>
      <c r="B233" s="55"/>
      <c r="C233" s="55"/>
    </row>
    <row r="234">
      <c r="A234" s="55"/>
      <c r="B234" s="55"/>
      <c r="C234" s="55"/>
    </row>
    <row r="235">
      <c r="A235" s="55"/>
      <c r="B235" s="55"/>
      <c r="C235" s="55"/>
    </row>
    <row r="236">
      <c r="A236" s="55"/>
      <c r="B236" s="55"/>
      <c r="C236" s="55"/>
    </row>
    <row r="237">
      <c r="A237" s="55"/>
      <c r="B237" s="55"/>
      <c r="C237" s="55"/>
    </row>
    <row r="238">
      <c r="A238" s="55"/>
      <c r="B238" s="55"/>
      <c r="C238" s="55"/>
    </row>
    <row r="239">
      <c r="A239" s="55"/>
      <c r="B239" s="55"/>
      <c r="C239" s="55"/>
    </row>
    <row r="240">
      <c r="A240" s="55"/>
      <c r="B240" s="55"/>
      <c r="C240" s="55"/>
    </row>
    <row r="241">
      <c r="A241" s="55"/>
      <c r="B241" s="55"/>
      <c r="C241" s="55"/>
    </row>
    <row r="242">
      <c r="A242" s="55"/>
      <c r="B242" s="55"/>
      <c r="C242" s="55"/>
    </row>
    <row r="243">
      <c r="A243" s="55"/>
      <c r="B243" s="55"/>
      <c r="C243" s="55"/>
    </row>
    <row r="244">
      <c r="A244" s="55"/>
      <c r="B244" s="55"/>
      <c r="C244" s="55"/>
    </row>
    <row r="245">
      <c r="A245" s="55"/>
      <c r="B245" s="55"/>
      <c r="C245" s="55"/>
    </row>
    <row r="246">
      <c r="A246" s="55"/>
      <c r="B246" s="55"/>
      <c r="C246" s="55"/>
    </row>
    <row r="247">
      <c r="A247" s="55"/>
      <c r="B247" s="55"/>
      <c r="C247" s="55"/>
    </row>
    <row r="248">
      <c r="A248" s="55"/>
      <c r="B248" s="55"/>
      <c r="C248" s="55"/>
    </row>
    <row r="249">
      <c r="A249" s="55"/>
      <c r="B249" s="55"/>
      <c r="C249" s="55"/>
    </row>
    <row r="250">
      <c r="A250" s="55"/>
      <c r="B250" s="55"/>
      <c r="C250" s="55"/>
    </row>
    <row r="251">
      <c r="A251" s="55"/>
      <c r="B251" s="55"/>
      <c r="C251" s="55"/>
    </row>
    <row r="252">
      <c r="A252" s="55"/>
      <c r="B252" s="55"/>
      <c r="C252" s="55"/>
    </row>
    <row r="253">
      <c r="A253" s="55"/>
      <c r="B253" s="55"/>
      <c r="C253" s="55"/>
    </row>
    <row r="254">
      <c r="A254" s="55"/>
      <c r="B254" s="55"/>
      <c r="C254" s="55"/>
    </row>
    <row r="255">
      <c r="A255" s="55"/>
      <c r="B255" s="55"/>
      <c r="C255" s="55"/>
    </row>
    <row r="256">
      <c r="A256" s="55"/>
      <c r="B256" s="55"/>
      <c r="C256" s="55"/>
    </row>
    <row r="257">
      <c r="A257" s="55"/>
      <c r="B257" s="55"/>
      <c r="C257" s="55"/>
    </row>
    <row r="258">
      <c r="A258" s="55"/>
      <c r="B258" s="55"/>
      <c r="C258" s="55"/>
    </row>
    <row r="259">
      <c r="A259" s="55"/>
      <c r="B259" s="55"/>
      <c r="C259" s="55"/>
    </row>
    <row r="260">
      <c r="A260" s="55"/>
      <c r="B260" s="55"/>
      <c r="C260" s="55"/>
    </row>
    <row r="261">
      <c r="A261" s="55"/>
      <c r="B261" s="55"/>
      <c r="C261" s="55"/>
    </row>
    <row r="262">
      <c r="A262" s="55"/>
      <c r="B262" s="55"/>
      <c r="C262" s="55"/>
    </row>
    <row r="263">
      <c r="A263" s="55"/>
      <c r="B263" s="55"/>
      <c r="C263" s="55"/>
    </row>
    <row r="264">
      <c r="A264" s="55"/>
      <c r="B264" s="55"/>
      <c r="C264" s="55"/>
    </row>
    <row r="265">
      <c r="A265" s="55"/>
      <c r="B265" s="55"/>
      <c r="C265" s="55"/>
    </row>
    <row r="266">
      <c r="A266" s="55"/>
      <c r="B266" s="55"/>
      <c r="C266" s="55"/>
    </row>
    <row r="267">
      <c r="A267" s="55"/>
      <c r="B267" s="55"/>
      <c r="C267" s="55"/>
    </row>
    <row r="268">
      <c r="A268" s="55"/>
      <c r="B268" s="55"/>
      <c r="C268" s="55"/>
    </row>
    <row r="269">
      <c r="A269" s="55"/>
      <c r="B269" s="55"/>
      <c r="C269" s="55"/>
    </row>
    <row r="270">
      <c r="A270" s="55"/>
      <c r="B270" s="55"/>
      <c r="C270" s="55"/>
    </row>
    <row r="271">
      <c r="A271" s="55"/>
      <c r="B271" s="55"/>
      <c r="C271" s="55"/>
    </row>
    <row r="272">
      <c r="A272" s="55"/>
      <c r="B272" s="55"/>
      <c r="C272" s="55"/>
    </row>
    <row r="273">
      <c r="A273" s="55"/>
      <c r="B273" s="55"/>
      <c r="C273" s="55"/>
    </row>
    <row r="274">
      <c r="A274" s="55"/>
      <c r="B274" s="55"/>
      <c r="C274" s="55"/>
    </row>
    <row r="275">
      <c r="A275" s="55"/>
      <c r="B275" s="55"/>
      <c r="C275" s="55"/>
    </row>
    <row r="276">
      <c r="A276" s="55"/>
      <c r="B276" s="55"/>
      <c r="C276" s="55"/>
    </row>
    <row r="277">
      <c r="A277" s="55"/>
      <c r="B277" s="55"/>
      <c r="C277" s="55"/>
    </row>
    <row r="278">
      <c r="A278" s="55"/>
      <c r="B278" s="55"/>
      <c r="C278" s="55"/>
    </row>
    <row r="279">
      <c r="A279" s="55"/>
      <c r="B279" s="55"/>
      <c r="C279" s="55"/>
    </row>
    <row r="280">
      <c r="A280" s="55"/>
      <c r="B280" s="55"/>
      <c r="C280" s="55"/>
    </row>
    <row r="281">
      <c r="A281" s="55"/>
      <c r="B281" s="55"/>
      <c r="C281" s="55"/>
    </row>
    <row r="282">
      <c r="A282" s="55"/>
      <c r="B282" s="55"/>
      <c r="C282" s="55"/>
    </row>
    <row r="283">
      <c r="A283" s="55"/>
      <c r="B283" s="55"/>
      <c r="C283" s="55"/>
    </row>
    <row r="284">
      <c r="A284" s="55"/>
      <c r="B284" s="55"/>
      <c r="C284" s="55"/>
    </row>
    <row r="285">
      <c r="A285" s="55"/>
      <c r="B285" s="55"/>
      <c r="C285" s="55"/>
    </row>
    <row r="286">
      <c r="A286" s="55"/>
      <c r="B286" s="55"/>
      <c r="C286" s="55"/>
    </row>
    <row r="287">
      <c r="A287" s="55"/>
      <c r="B287" s="55"/>
      <c r="C287" s="55"/>
    </row>
    <row r="288">
      <c r="A288" s="55"/>
      <c r="B288" s="55"/>
      <c r="C288" s="55"/>
    </row>
    <row r="289">
      <c r="A289" s="55"/>
      <c r="B289" s="55"/>
      <c r="C289" s="55"/>
    </row>
    <row r="290">
      <c r="A290" s="55"/>
      <c r="B290" s="55"/>
      <c r="C290" s="55"/>
    </row>
    <row r="291">
      <c r="A291" s="55"/>
      <c r="B291" s="55"/>
      <c r="C291" s="55"/>
    </row>
    <row r="292">
      <c r="A292" s="55"/>
      <c r="B292" s="55"/>
      <c r="C292" s="55"/>
    </row>
    <row r="293">
      <c r="A293" s="55"/>
      <c r="B293" s="55"/>
      <c r="C293" s="55"/>
    </row>
    <row r="294">
      <c r="A294" s="55"/>
      <c r="B294" s="55"/>
      <c r="C294" s="55"/>
    </row>
    <row r="295">
      <c r="A295" s="55"/>
      <c r="B295" s="55"/>
      <c r="C295" s="55"/>
    </row>
    <row r="296">
      <c r="A296" s="55"/>
      <c r="B296" s="55"/>
      <c r="C296" s="55"/>
    </row>
    <row r="297">
      <c r="A297" s="55"/>
      <c r="B297" s="55"/>
      <c r="C297" s="55"/>
    </row>
    <row r="298">
      <c r="A298" s="55"/>
      <c r="B298" s="55"/>
      <c r="C298" s="55"/>
    </row>
    <row r="299">
      <c r="A299" s="55"/>
      <c r="B299" s="55"/>
      <c r="C299" s="55"/>
    </row>
    <row r="300">
      <c r="A300" s="55"/>
      <c r="B300" s="55"/>
      <c r="C300" s="55"/>
    </row>
    <row r="301">
      <c r="A301" s="55"/>
      <c r="B301" s="55"/>
      <c r="C301" s="55"/>
    </row>
    <row r="302">
      <c r="A302" s="55"/>
      <c r="B302" s="55"/>
      <c r="C302" s="55"/>
    </row>
    <row r="303">
      <c r="A303" s="55"/>
      <c r="B303" s="55"/>
      <c r="C303" s="55"/>
    </row>
    <row r="304">
      <c r="A304" s="55"/>
      <c r="B304" s="55"/>
      <c r="C304" s="55"/>
    </row>
    <row r="305">
      <c r="A305" s="55"/>
      <c r="B305" s="55"/>
      <c r="C305" s="55"/>
    </row>
    <row r="306">
      <c r="A306" s="55"/>
      <c r="B306" s="55"/>
      <c r="C306" s="55"/>
    </row>
    <row r="307">
      <c r="A307" s="55"/>
      <c r="B307" s="55"/>
      <c r="C307" s="55"/>
    </row>
    <row r="308">
      <c r="A308" s="55"/>
      <c r="B308" s="55"/>
      <c r="C308" s="55"/>
    </row>
    <row r="309">
      <c r="A309" s="55"/>
      <c r="B309" s="55"/>
      <c r="C309" s="55"/>
    </row>
    <row r="310">
      <c r="A310" s="55"/>
      <c r="B310" s="55"/>
      <c r="C310" s="55"/>
    </row>
    <row r="311">
      <c r="A311" s="55"/>
      <c r="B311" s="55"/>
      <c r="C311" s="55"/>
    </row>
    <row r="312">
      <c r="A312" s="55"/>
      <c r="B312" s="55"/>
      <c r="C312" s="55"/>
    </row>
    <row r="313">
      <c r="A313" s="55"/>
      <c r="B313" s="55"/>
      <c r="C313" s="55"/>
    </row>
    <row r="314">
      <c r="A314" s="55"/>
      <c r="B314" s="55"/>
      <c r="C314" s="55"/>
    </row>
    <row r="315">
      <c r="A315" s="55"/>
      <c r="B315" s="55"/>
      <c r="C315" s="55"/>
    </row>
    <row r="316">
      <c r="A316" s="55"/>
      <c r="B316" s="55"/>
      <c r="C316" s="55"/>
    </row>
    <row r="317">
      <c r="A317" s="55"/>
      <c r="B317" s="55"/>
      <c r="C317" s="55"/>
    </row>
    <row r="318">
      <c r="A318" s="55"/>
      <c r="B318" s="55"/>
      <c r="C318" s="55"/>
    </row>
    <row r="319">
      <c r="A319" s="55"/>
      <c r="B319" s="55"/>
      <c r="C319" s="55"/>
    </row>
    <row r="320">
      <c r="A320" s="55"/>
      <c r="B320" s="55"/>
      <c r="C320" s="55"/>
    </row>
    <row r="321">
      <c r="A321" s="55"/>
      <c r="B321" s="55"/>
      <c r="C321" s="55"/>
    </row>
    <row r="322">
      <c r="A322" s="55"/>
      <c r="B322" s="55"/>
      <c r="C322" s="55"/>
    </row>
    <row r="323">
      <c r="A323" s="55"/>
      <c r="B323" s="55"/>
      <c r="C323" s="55"/>
    </row>
    <row r="324">
      <c r="A324" s="55"/>
      <c r="B324" s="55"/>
      <c r="C324" s="55"/>
    </row>
    <row r="325">
      <c r="A325" s="55"/>
      <c r="B325" s="55"/>
      <c r="C325" s="55"/>
    </row>
    <row r="326">
      <c r="A326" s="55"/>
      <c r="B326" s="55"/>
      <c r="C326" s="55"/>
    </row>
    <row r="327">
      <c r="A327" s="55"/>
      <c r="B327" s="55"/>
      <c r="C327" s="55"/>
    </row>
    <row r="328">
      <c r="A328" s="55"/>
      <c r="B328" s="55"/>
      <c r="C328" s="55"/>
    </row>
    <row r="329">
      <c r="A329" s="55"/>
      <c r="B329" s="55"/>
      <c r="C329" s="55"/>
    </row>
    <row r="330">
      <c r="A330" s="55"/>
      <c r="B330" s="55"/>
      <c r="C330" s="55"/>
    </row>
    <row r="331">
      <c r="A331" s="55"/>
      <c r="B331" s="55"/>
      <c r="C331" s="55"/>
    </row>
    <row r="332">
      <c r="A332" s="55"/>
      <c r="B332" s="55"/>
      <c r="C332" s="55"/>
    </row>
    <row r="333">
      <c r="A333" s="55"/>
      <c r="B333" s="55"/>
      <c r="C333" s="55"/>
    </row>
    <row r="334">
      <c r="A334" s="55"/>
      <c r="B334" s="55"/>
      <c r="C334" s="55"/>
    </row>
    <row r="335">
      <c r="A335" s="55"/>
      <c r="B335" s="55"/>
      <c r="C335" s="55"/>
    </row>
    <row r="336">
      <c r="A336" s="55"/>
      <c r="B336" s="55"/>
      <c r="C336" s="55"/>
    </row>
    <row r="337">
      <c r="A337" s="55"/>
      <c r="B337" s="55"/>
      <c r="C337" s="55"/>
    </row>
    <row r="338">
      <c r="A338" s="55"/>
      <c r="B338" s="55"/>
      <c r="C338" s="55"/>
    </row>
    <row r="339">
      <c r="A339" s="55"/>
      <c r="B339" s="55"/>
      <c r="C339" s="55"/>
    </row>
    <row r="340">
      <c r="A340" s="55"/>
      <c r="B340" s="55"/>
      <c r="C340" s="55"/>
    </row>
    <row r="341">
      <c r="A341" s="55"/>
      <c r="B341" s="55"/>
      <c r="C341" s="55"/>
    </row>
    <row r="342">
      <c r="A342" s="55"/>
      <c r="B342" s="55"/>
      <c r="C342" s="55"/>
    </row>
    <row r="343">
      <c r="A343" s="55"/>
      <c r="B343" s="55"/>
      <c r="C343" s="55"/>
    </row>
    <row r="344">
      <c r="A344" s="55"/>
      <c r="B344" s="55"/>
      <c r="C344" s="55"/>
    </row>
    <row r="345">
      <c r="A345" s="55"/>
      <c r="B345" s="55"/>
      <c r="C345" s="55"/>
    </row>
    <row r="346">
      <c r="A346" s="55"/>
      <c r="B346" s="55"/>
      <c r="C346" s="55"/>
    </row>
    <row r="347">
      <c r="A347" s="55"/>
      <c r="B347" s="55"/>
      <c r="C347" s="55"/>
    </row>
    <row r="348">
      <c r="A348" s="55"/>
      <c r="B348" s="55"/>
      <c r="C348" s="55"/>
    </row>
    <row r="349">
      <c r="A349" s="55"/>
      <c r="B349" s="55"/>
      <c r="C349" s="55"/>
    </row>
    <row r="350">
      <c r="A350" s="55"/>
      <c r="B350" s="55"/>
      <c r="C350" s="55"/>
    </row>
    <row r="351">
      <c r="A351" s="55"/>
      <c r="B351" s="55"/>
      <c r="C351" s="55"/>
    </row>
    <row r="352">
      <c r="A352" s="55"/>
      <c r="B352" s="55"/>
      <c r="C352" s="55"/>
    </row>
    <row r="353">
      <c r="A353" s="55"/>
      <c r="B353" s="55"/>
      <c r="C353" s="55"/>
    </row>
    <row r="354">
      <c r="A354" s="55"/>
      <c r="B354" s="55"/>
      <c r="C354" s="55"/>
    </row>
    <row r="355">
      <c r="A355" s="55"/>
      <c r="B355" s="55"/>
      <c r="C355" s="55"/>
    </row>
    <row r="356">
      <c r="A356" s="55"/>
      <c r="B356" s="55"/>
      <c r="C356" s="55"/>
    </row>
    <row r="357">
      <c r="A357" s="55"/>
      <c r="B357" s="55"/>
      <c r="C357" s="55"/>
    </row>
    <row r="358">
      <c r="A358" s="55"/>
      <c r="B358" s="55"/>
      <c r="C358" s="55"/>
    </row>
    <row r="359">
      <c r="A359" s="55"/>
      <c r="B359" s="55"/>
      <c r="C359" s="55"/>
    </row>
    <row r="360">
      <c r="A360" s="55"/>
      <c r="B360" s="55"/>
      <c r="C360" s="55"/>
    </row>
    <row r="361">
      <c r="A361" s="55"/>
      <c r="B361" s="55"/>
      <c r="C361" s="55"/>
    </row>
    <row r="362">
      <c r="A362" s="55"/>
      <c r="B362" s="55"/>
      <c r="C362" s="55"/>
    </row>
    <row r="363">
      <c r="A363" s="55"/>
      <c r="B363" s="55"/>
      <c r="C363" s="55"/>
    </row>
    <row r="364">
      <c r="A364" s="55"/>
      <c r="B364" s="55"/>
      <c r="C364" s="55"/>
    </row>
    <row r="365">
      <c r="A365" s="55"/>
      <c r="B365" s="55"/>
      <c r="C365" s="55"/>
    </row>
    <row r="366">
      <c r="A366" s="55"/>
      <c r="B366" s="55"/>
      <c r="C366" s="55"/>
    </row>
    <row r="367">
      <c r="A367" s="55"/>
      <c r="B367" s="55"/>
      <c r="C367" s="55"/>
    </row>
    <row r="368">
      <c r="A368" s="55"/>
      <c r="B368" s="55"/>
      <c r="C368" s="55"/>
    </row>
    <row r="369">
      <c r="A369" s="55"/>
      <c r="B369" s="55"/>
      <c r="C369" s="55"/>
    </row>
    <row r="370">
      <c r="A370" s="55"/>
      <c r="B370" s="55"/>
      <c r="C370" s="55"/>
    </row>
    <row r="371">
      <c r="A371" s="55"/>
      <c r="B371" s="55"/>
      <c r="C371" s="55"/>
    </row>
    <row r="372">
      <c r="A372" s="55"/>
      <c r="B372" s="55"/>
      <c r="C372" s="55"/>
    </row>
    <row r="373">
      <c r="A373" s="55"/>
      <c r="B373" s="55"/>
      <c r="C373" s="55"/>
    </row>
    <row r="374">
      <c r="A374" s="55"/>
      <c r="B374" s="55"/>
      <c r="C374" s="55"/>
    </row>
    <row r="375">
      <c r="A375" s="55"/>
      <c r="B375" s="55"/>
      <c r="C375" s="55"/>
    </row>
    <row r="376">
      <c r="A376" s="55"/>
      <c r="B376" s="55"/>
      <c r="C376" s="55"/>
    </row>
    <row r="377">
      <c r="A377" s="55"/>
      <c r="B377" s="55"/>
      <c r="C377" s="55"/>
    </row>
    <row r="378">
      <c r="A378" s="55"/>
      <c r="B378" s="55"/>
      <c r="C378" s="55"/>
    </row>
    <row r="379">
      <c r="A379" s="55"/>
      <c r="B379" s="55"/>
      <c r="C379" s="55"/>
    </row>
    <row r="380">
      <c r="A380" s="55"/>
      <c r="B380" s="55"/>
      <c r="C380" s="55"/>
    </row>
    <row r="381">
      <c r="A381" s="55"/>
      <c r="B381" s="55"/>
      <c r="C381" s="55"/>
    </row>
    <row r="382">
      <c r="A382" s="55"/>
      <c r="B382" s="55"/>
      <c r="C382" s="55"/>
    </row>
    <row r="383">
      <c r="A383" s="55"/>
      <c r="B383" s="55"/>
      <c r="C383" s="55"/>
    </row>
    <row r="384">
      <c r="A384" s="55"/>
      <c r="B384" s="55"/>
      <c r="C384" s="55"/>
    </row>
    <row r="385">
      <c r="A385" s="55"/>
      <c r="B385" s="55"/>
      <c r="C385" s="55"/>
    </row>
    <row r="386">
      <c r="A386" s="55"/>
      <c r="B386" s="55"/>
      <c r="C386" s="55"/>
    </row>
    <row r="387">
      <c r="A387" s="55"/>
      <c r="B387" s="55"/>
      <c r="C387" s="55"/>
    </row>
    <row r="388">
      <c r="A388" s="55"/>
      <c r="B388" s="55"/>
      <c r="C388" s="55"/>
    </row>
    <row r="389">
      <c r="A389" s="55"/>
      <c r="B389" s="55"/>
      <c r="C389" s="55"/>
    </row>
    <row r="390">
      <c r="A390" s="55"/>
      <c r="B390" s="55"/>
      <c r="C390" s="55"/>
    </row>
    <row r="391">
      <c r="A391" s="55"/>
      <c r="B391" s="55"/>
      <c r="C391" s="55"/>
    </row>
    <row r="392">
      <c r="A392" s="55"/>
      <c r="B392" s="55"/>
      <c r="C392" s="55"/>
    </row>
    <row r="393">
      <c r="A393" s="55"/>
      <c r="B393" s="55"/>
      <c r="C393" s="55"/>
    </row>
    <row r="394">
      <c r="A394" s="55"/>
      <c r="B394" s="55"/>
      <c r="C394" s="55"/>
    </row>
    <row r="395">
      <c r="A395" s="55"/>
      <c r="B395" s="55"/>
      <c r="C395" s="55"/>
    </row>
    <row r="396">
      <c r="A396" s="55"/>
      <c r="B396" s="55"/>
      <c r="C396" s="55"/>
    </row>
    <row r="397">
      <c r="A397" s="55"/>
      <c r="B397" s="55"/>
      <c r="C397" s="55"/>
    </row>
    <row r="398">
      <c r="A398" s="55"/>
      <c r="B398" s="55"/>
      <c r="C398" s="55"/>
    </row>
    <row r="399">
      <c r="A399" s="55"/>
      <c r="B399" s="55"/>
      <c r="C399" s="55"/>
    </row>
    <row r="400">
      <c r="A400" s="55"/>
      <c r="B400" s="55"/>
      <c r="C400" s="55"/>
    </row>
    <row r="401">
      <c r="A401" s="55"/>
      <c r="B401" s="55"/>
      <c r="C401" s="55"/>
    </row>
    <row r="402">
      <c r="A402" s="55"/>
      <c r="B402" s="55"/>
      <c r="C402" s="55"/>
    </row>
    <row r="403">
      <c r="A403" s="55"/>
      <c r="B403" s="55"/>
      <c r="C403" s="55"/>
    </row>
    <row r="404">
      <c r="A404" s="55"/>
      <c r="B404" s="55"/>
      <c r="C404" s="55"/>
    </row>
    <row r="405">
      <c r="A405" s="55"/>
      <c r="B405" s="55"/>
      <c r="C405" s="55"/>
    </row>
    <row r="406">
      <c r="A406" s="55"/>
      <c r="B406" s="55"/>
      <c r="C406" s="55"/>
    </row>
    <row r="407">
      <c r="A407" s="55"/>
      <c r="B407" s="55"/>
      <c r="C407" s="55"/>
    </row>
    <row r="408">
      <c r="A408" s="55"/>
      <c r="B408" s="55"/>
      <c r="C408" s="55"/>
    </row>
    <row r="409">
      <c r="A409" s="55"/>
      <c r="B409" s="55"/>
      <c r="C409" s="55"/>
    </row>
    <row r="410">
      <c r="A410" s="55"/>
      <c r="B410" s="55"/>
      <c r="C410" s="55"/>
    </row>
    <row r="411">
      <c r="A411" s="55"/>
      <c r="B411" s="55"/>
      <c r="C411" s="55"/>
    </row>
    <row r="412">
      <c r="A412" s="55"/>
      <c r="B412" s="55"/>
      <c r="C412" s="55"/>
    </row>
    <row r="413">
      <c r="A413" s="55"/>
      <c r="B413" s="55"/>
      <c r="C413" s="55"/>
    </row>
    <row r="414">
      <c r="A414" s="55"/>
      <c r="B414" s="55"/>
      <c r="C414" s="55"/>
    </row>
    <row r="415">
      <c r="A415" s="55"/>
      <c r="B415" s="55"/>
      <c r="C415" s="55"/>
    </row>
    <row r="416">
      <c r="A416" s="55"/>
      <c r="B416" s="55"/>
      <c r="C416" s="55"/>
    </row>
    <row r="417">
      <c r="A417" s="55"/>
      <c r="B417" s="55"/>
      <c r="C417" s="55"/>
    </row>
    <row r="418">
      <c r="A418" s="55"/>
      <c r="B418" s="55"/>
      <c r="C418" s="55"/>
    </row>
    <row r="419">
      <c r="A419" s="55"/>
      <c r="B419" s="55"/>
      <c r="C419" s="55"/>
    </row>
    <row r="420">
      <c r="A420" s="55"/>
      <c r="B420" s="55"/>
      <c r="C420" s="55"/>
    </row>
    <row r="421">
      <c r="A421" s="55"/>
      <c r="B421" s="55"/>
      <c r="C421" s="55"/>
    </row>
    <row r="422">
      <c r="A422" s="55"/>
      <c r="B422" s="55"/>
      <c r="C422" s="55"/>
    </row>
    <row r="423">
      <c r="A423" s="55"/>
      <c r="B423" s="55"/>
      <c r="C423" s="55"/>
    </row>
    <row r="424">
      <c r="A424" s="55"/>
      <c r="B424" s="55"/>
      <c r="C424" s="55"/>
    </row>
    <row r="425">
      <c r="A425" s="55"/>
      <c r="B425" s="55"/>
      <c r="C425" s="55"/>
    </row>
    <row r="426">
      <c r="A426" s="55"/>
      <c r="B426" s="55"/>
      <c r="C426" s="55"/>
    </row>
    <row r="427">
      <c r="A427" s="55"/>
      <c r="B427" s="55"/>
      <c r="C427" s="55"/>
    </row>
    <row r="428">
      <c r="A428" s="55"/>
      <c r="B428" s="55"/>
      <c r="C428" s="55"/>
    </row>
    <row r="429">
      <c r="A429" s="55"/>
      <c r="B429" s="55"/>
      <c r="C429" s="55"/>
    </row>
    <row r="430">
      <c r="A430" s="55"/>
      <c r="B430" s="55"/>
      <c r="C430" s="55"/>
    </row>
    <row r="431">
      <c r="A431" s="55"/>
      <c r="B431" s="55"/>
      <c r="C431" s="55"/>
    </row>
    <row r="432">
      <c r="A432" s="55"/>
      <c r="B432" s="55"/>
      <c r="C432" s="55"/>
    </row>
    <row r="433">
      <c r="A433" s="55"/>
      <c r="B433" s="55"/>
      <c r="C433" s="55"/>
    </row>
    <row r="434">
      <c r="A434" s="55"/>
      <c r="B434" s="55"/>
      <c r="C434" s="55"/>
    </row>
    <row r="435">
      <c r="A435" s="55"/>
      <c r="B435" s="55"/>
      <c r="C435" s="55"/>
    </row>
    <row r="436">
      <c r="A436" s="55"/>
      <c r="B436" s="55"/>
      <c r="C436" s="55"/>
    </row>
    <row r="437">
      <c r="A437" s="55"/>
      <c r="B437" s="55"/>
      <c r="C437" s="55"/>
    </row>
    <row r="438">
      <c r="A438" s="55"/>
      <c r="B438" s="55"/>
      <c r="C438" s="55"/>
    </row>
    <row r="439">
      <c r="A439" s="55"/>
      <c r="B439" s="55"/>
      <c r="C439" s="55"/>
    </row>
    <row r="440">
      <c r="A440" s="55"/>
      <c r="B440" s="55"/>
      <c r="C440" s="55"/>
    </row>
    <row r="441">
      <c r="A441" s="55"/>
      <c r="B441" s="55"/>
      <c r="C441" s="55"/>
    </row>
    <row r="442">
      <c r="A442" s="55"/>
      <c r="B442" s="55"/>
      <c r="C442" s="55"/>
    </row>
    <row r="443">
      <c r="A443" s="55"/>
      <c r="B443" s="55"/>
      <c r="C443" s="55"/>
    </row>
    <row r="444">
      <c r="A444" s="55"/>
      <c r="B444" s="55"/>
      <c r="C444" s="55"/>
    </row>
    <row r="445">
      <c r="A445" s="55"/>
      <c r="B445" s="55"/>
      <c r="C445" s="55"/>
    </row>
    <row r="446">
      <c r="A446" s="55"/>
      <c r="B446" s="55"/>
      <c r="C446" s="55"/>
    </row>
    <row r="447">
      <c r="A447" s="55"/>
      <c r="B447" s="55"/>
      <c r="C447" s="55"/>
    </row>
    <row r="448">
      <c r="A448" s="55"/>
      <c r="B448" s="55"/>
      <c r="C448" s="55"/>
    </row>
    <row r="449">
      <c r="A449" s="55"/>
      <c r="B449" s="55"/>
      <c r="C449" s="55"/>
    </row>
    <row r="450">
      <c r="A450" s="55"/>
      <c r="B450" s="55"/>
      <c r="C450" s="55"/>
    </row>
    <row r="451">
      <c r="A451" s="55"/>
      <c r="B451" s="55"/>
      <c r="C451" s="55"/>
    </row>
    <row r="452">
      <c r="A452" s="55"/>
      <c r="B452" s="55"/>
      <c r="C452" s="55"/>
    </row>
    <row r="453">
      <c r="A453" s="55"/>
      <c r="B453" s="55"/>
      <c r="C453" s="55"/>
    </row>
    <row r="454">
      <c r="A454" s="55"/>
      <c r="B454" s="55"/>
      <c r="C454" s="55"/>
    </row>
    <row r="455">
      <c r="A455" s="55"/>
      <c r="B455" s="55"/>
      <c r="C455" s="55"/>
    </row>
    <row r="456">
      <c r="A456" s="55"/>
      <c r="B456" s="55"/>
      <c r="C456" s="55"/>
    </row>
    <row r="457">
      <c r="A457" s="55"/>
      <c r="B457" s="55"/>
      <c r="C457" s="55"/>
    </row>
    <row r="458">
      <c r="A458" s="55"/>
      <c r="B458" s="55"/>
      <c r="C458" s="55"/>
    </row>
    <row r="459">
      <c r="A459" s="55"/>
      <c r="B459" s="55"/>
      <c r="C459" s="55"/>
    </row>
    <row r="460">
      <c r="A460" s="55"/>
      <c r="B460" s="55"/>
      <c r="C460" s="55"/>
    </row>
    <row r="461">
      <c r="A461" s="55"/>
      <c r="B461" s="55"/>
      <c r="C461" s="55"/>
    </row>
    <row r="462">
      <c r="A462" s="55"/>
      <c r="B462" s="55"/>
      <c r="C462" s="55"/>
    </row>
    <row r="463">
      <c r="A463" s="55"/>
      <c r="B463" s="55"/>
      <c r="C463" s="55"/>
    </row>
    <row r="464">
      <c r="A464" s="55"/>
      <c r="B464" s="55"/>
      <c r="C464" s="55"/>
    </row>
    <row r="465">
      <c r="A465" s="55"/>
      <c r="B465" s="55"/>
      <c r="C465" s="55"/>
    </row>
    <row r="466">
      <c r="A466" s="55"/>
      <c r="B466" s="55"/>
      <c r="C466" s="55"/>
    </row>
    <row r="467">
      <c r="A467" s="55"/>
      <c r="B467" s="55"/>
      <c r="C467" s="55"/>
    </row>
    <row r="468">
      <c r="A468" s="55"/>
      <c r="B468" s="55"/>
      <c r="C468" s="55"/>
    </row>
    <row r="469">
      <c r="A469" s="55"/>
      <c r="B469" s="55"/>
      <c r="C469" s="55"/>
    </row>
    <row r="470">
      <c r="A470" s="55"/>
      <c r="B470" s="55"/>
      <c r="C470" s="55"/>
    </row>
    <row r="471">
      <c r="A471" s="55"/>
      <c r="B471" s="55"/>
      <c r="C471" s="55"/>
    </row>
    <row r="472">
      <c r="A472" s="55"/>
      <c r="B472" s="55"/>
      <c r="C472" s="55"/>
    </row>
    <row r="473">
      <c r="A473" s="55"/>
      <c r="B473" s="55"/>
      <c r="C473" s="55"/>
    </row>
    <row r="474">
      <c r="A474" s="55"/>
      <c r="B474" s="55"/>
      <c r="C474" s="55"/>
    </row>
    <row r="475">
      <c r="A475" s="55"/>
      <c r="B475" s="55"/>
      <c r="C475" s="55"/>
    </row>
    <row r="476">
      <c r="A476" s="55"/>
      <c r="B476" s="55"/>
      <c r="C476" s="55"/>
    </row>
    <row r="477">
      <c r="A477" s="55"/>
      <c r="B477" s="55"/>
      <c r="C477" s="55"/>
    </row>
    <row r="478">
      <c r="A478" s="55"/>
      <c r="B478" s="55"/>
      <c r="C478" s="55"/>
    </row>
    <row r="479">
      <c r="A479" s="55"/>
      <c r="B479" s="55"/>
      <c r="C479" s="55"/>
    </row>
    <row r="480">
      <c r="A480" s="55"/>
      <c r="B480" s="55"/>
      <c r="C480" s="55"/>
    </row>
    <row r="481">
      <c r="A481" s="55"/>
      <c r="B481" s="55"/>
      <c r="C481" s="55"/>
    </row>
    <row r="482">
      <c r="A482" s="55"/>
      <c r="B482" s="55"/>
      <c r="C482" s="55"/>
    </row>
    <row r="483">
      <c r="A483" s="55"/>
      <c r="B483" s="55"/>
      <c r="C483" s="55"/>
    </row>
    <row r="484">
      <c r="A484" s="55"/>
      <c r="B484" s="55"/>
      <c r="C484" s="55"/>
    </row>
    <row r="485">
      <c r="A485" s="55"/>
      <c r="B485" s="55"/>
      <c r="C485" s="55"/>
    </row>
    <row r="486">
      <c r="A486" s="55"/>
      <c r="B486" s="55"/>
      <c r="C486" s="55"/>
    </row>
    <row r="487">
      <c r="A487" s="55"/>
      <c r="B487" s="55"/>
      <c r="C487" s="55"/>
    </row>
    <row r="488">
      <c r="A488" s="55"/>
      <c r="B488" s="55"/>
      <c r="C488" s="55"/>
    </row>
    <row r="489">
      <c r="A489" s="55"/>
      <c r="B489" s="55"/>
      <c r="C489" s="55"/>
    </row>
    <row r="490">
      <c r="A490" s="55"/>
      <c r="B490" s="55"/>
      <c r="C490" s="55"/>
    </row>
    <row r="491">
      <c r="A491" s="55"/>
      <c r="B491" s="55"/>
      <c r="C491" s="55"/>
    </row>
    <row r="492">
      <c r="A492" s="55"/>
      <c r="B492" s="55"/>
      <c r="C492" s="55"/>
    </row>
    <row r="493">
      <c r="A493" s="55"/>
      <c r="B493" s="55"/>
      <c r="C493" s="55"/>
    </row>
    <row r="494">
      <c r="A494" s="55"/>
      <c r="B494" s="55"/>
      <c r="C494" s="55"/>
    </row>
    <row r="495">
      <c r="A495" s="55"/>
      <c r="B495" s="55"/>
      <c r="C495" s="55"/>
    </row>
    <row r="496">
      <c r="A496" s="55"/>
      <c r="B496" s="55"/>
      <c r="C496" s="55"/>
    </row>
    <row r="497">
      <c r="A497" s="55"/>
      <c r="B497" s="55"/>
      <c r="C497" s="55"/>
    </row>
    <row r="498">
      <c r="A498" s="55"/>
      <c r="B498" s="55"/>
      <c r="C498" s="55"/>
    </row>
    <row r="499">
      <c r="A499" s="55"/>
      <c r="B499" s="55"/>
      <c r="C499" s="55"/>
    </row>
    <row r="500">
      <c r="A500" s="55"/>
      <c r="B500" s="55"/>
      <c r="C500" s="55"/>
    </row>
    <row r="501">
      <c r="A501" s="55"/>
      <c r="B501" s="55"/>
      <c r="C501" s="55"/>
    </row>
    <row r="502">
      <c r="A502" s="55"/>
      <c r="B502" s="55"/>
      <c r="C502" s="55"/>
    </row>
    <row r="503">
      <c r="A503" s="55"/>
      <c r="B503" s="55"/>
      <c r="C503" s="55"/>
    </row>
    <row r="504">
      <c r="A504" s="55"/>
      <c r="B504" s="55"/>
      <c r="C504" s="55"/>
    </row>
    <row r="505">
      <c r="A505" s="55"/>
      <c r="B505" s="55"/>
      <c r="C505" s="55"/>
    </row>
    <row r="506">
      <c r="A506" s="55"/>
      <c r="B506" s="55"/>
      <c r="C506" s="55"/>
    </row>
    <row r="507">
      <c r="A507" s="55"/>
      <c r="B507" s="55"/>
      <c r="C507" s="55"/>
    </row>
    <row r="508">
      <c r="A508" s="55"/>
      <c r="B508" s="55"/>
      <c r="C508" s="55"/>
    </row>
    <row r="509">
      <c r="A509" s="55"/>
      <c r="B509" s="55"/>
      <c r="C509" s="55"/>
    </row>
    <row r="510">
      <c r="A510" s="55"/>
      <c r="B510" s="55"/>
      <c r="C510" s="55"/>
    </row>
    <row r="511">
      <c r="A511" s="55"/>
      <c r="B511" s="55"/>
      <c r="C511" s="55"/>
    </row>
    <row r="512">
      <c r="A512" s="55"/>
      <c r="B512" s="55"/>
      <c r="C512" s="55"/>
    </row>
    <row r="513">
      <c r="A513" s="55"/>
      <c r="B513" s="55"/>
      <c r="C513" s="55"/>
    </row>
    <row r="514">
      <c r="A514" s="55"/>
      <c r="B514" s="55"/>
      <c r="C514" s="55"/>
    </row>
    <row r="515">
      <c r="A515" s="55"/>
      <c r="B515" s="55"/>
      <c r="C515" s="55"/>
    </row>
    <row r="516">
      <c r="A516" s="55"/>
      <c r="B516" s="55"/>
      <c r="C516" s="55"/>
    </row>
    <row r="517">
      <c r="A517" s="55"/>
      <c r="B517" s="55"/>
      <c r="C517" s="55"/>
    </row>
    <row r="518">
      <c r="A518" s="55"/>
      <c r="B518" s="55"/>
      <c r="C518" s="55"/>
    </row>
    <row r="519">
      <c r="A519" s="55"/>
      <c r="B519" s="55"/>
      <c r="C519" s="55"/>
    </row>
    <row r="520">
      <c r="A520" s="55"/>
      <c r="B520" s="55"/>
      <c r="C520" s="55"/>
    </row>
    <row r="521">
      <c r="A521" s="55"/>
      <c r="B521" s="55"/>
      <c r="C521" s="55"/>
    </row>
    <row r="522">
      <c r="A522" s="55"/>
      <c r="B522" s="55"/>
      <c r="C522" s="55"/>
    </row>
    <row r="523">
      <c r="A523" s="55"/>
      <c r="B523" s="55"/>
      <c r="C523" s="55"/>
    </row>
    <row r="524">
      <c r="A524" s="55"/>
      <c r="B524" s="55"/>
      <c r="C524" s="55"/>
    </row>
    <row r="525">
      <c r="A525" s="55"/>
      <c r="B525" s="55"/>
      <c r="C525" s="55"/>
    </row>
    <row r="526">
      <c r="A526" s="55"/>
      <c r="B526" s="55"/>
      <c r="C526" s="55"/>
    </row>
    <row r="527">
      <c r="A527" s="55"/>
      <c r="B527" s="55"/>
      <c r="C527" s="55"/>
    </row>
    <row r="528">
      <c r="A528" s="55"/>
      <c r="B528" s="55"/>
      <c r="C528" s="55"/>
    </row>
    <row r="529">
      <c r="A529" s="55"/>
      <c r="B529" s="55"/>
      <c r="C529" s="55"/>
    </row>
    <row r="530">
      <c r="A530" s="55"/>
      <c r="B530" s="55"/>
      <c r="C530" s="55"/>
    </row>
    <row r="531">
      <c r="A531" s="55"/>
      <c r="B531" s="55"/>
      <c r="C531" s="55"/>
    </row>
    <row r="532">
      <c r="A532" s="55"/>
      <c r="B532" s="55"/>
      <c r="C532" s="55"/>
    </row>
    <row r="533">
      <c r="A533" s="55"/>
      <c r="B533" s="55"/>
      <c r="C533" s="55"/>
    </row>
    <row r="534">
      <c r="A534" s="55"/>
      <c r="B534" s="55"/>
      <c r="C534" s="55"/>
    </row>
    <row r="535">
      <c r="A535" s="55"/>
      <c r="B535" s="55"/>
      <c r="C535" s="55"/>
    </row>
    <row r="536">
      <c r="A536" s="55"/>
      <c r="B536" s="55"/>
      <c r="C536" s="55"/>
    </row>
    <row r="537">
      <c r="A537" s="55"/>
      <c r="B537" s="55"/>
      <c r="C537" s="55"/>
    </row>
    <row r="538">
      <c r="A538" s="55"/>
      <c r="B538" s="55"/>
      <c r="C538" s="55"/>
    </row>
    <row r="539">
      <c r="A539" s="55"/>
      <c r="B539" s="55"/>
      <c r="C539" s="55"/>
    </row>
    <row r="540">
      <c r="A540" s="55"/>
      <c r="B540" s="55"/>
      <c r="C540" s="55"/>
    </row>
    <row r="541">
      <c r="A541" s="55"/>
      <c r="B541" s="55"/>
      <c r="C541" s="55"/>
    </row>
    <row r="542">
      <c r="A542" s="55"/>
      <c r="B542" s="55"/>
      <c r="C542" s="55"/>
    </row>
    <row r="543">
      <c r="A543" s="55"/>
      <c r="B543" s="55"/>
      <c r="C543" s="55"/>
    </row>
    <row r="544">
      <c r="A544" s="55"/>
      <c r="B544" s="55"/>
      <c r="C544" s="55"/>
    </row>
    <row r="545">
      <c r="A545" s="55"/>
      <c r="B545" s="55"/>
      <c r="C545" s="55"/>
    </row>
    <row r="546">
      <c r="A546" s="55"/>
      <c r="B546" s="55"/>
      <c r="C546" s="55"/>
    </row>
    <row r="547">
      <c r="A547" s="55"/>
      <c r="B547" s="55"/>
      <c r="C547" s="55"/>
    </row>
    <row r="548">
      <c r="A548" s="55"/>
      <c r="B548" s="55"/>
      <c r="C548" s="55"/>
    </row>
    <row r="549">
      <c r="A549" s="55"/>
      <c r="B549" s="55"/>
      <c r="C549" s="55"/>
    </row>
    <row r="550">
      <c r="A550" s="55"/>
      <c r="B550" s="55"/>
      <c r="C550" s="55"/>
    </row>
    <row r="551">
      <c r="A551" s="55"/>
      <c r="B551" s="55"/>
      <c r="C551" s="55"/>
    </row>
    <row r="552">
      <c r="A552" s="55"/>
      <c r="B552" s="55"/>
      <c r="C552" s="55"/>
    </row>
    <row r="553">
      <c r="A553" s="55"/>
      <c r="B553" s="55"/>
      <c r="C553" s="55"/>
    </row>
    <row r="554">
      <c r="A554" s="55"/>
      <c r="B554" s="55"/>
      <c r="C554" s="55"/>
    </row>
    <row r="555">
      <c r="A555" s="55"/>
      <c r="B555" s="55"/>
      <c r="C555" s="55"/>
    </row>
    <row r="556">
      <c r="A556" s="55"/>
      <c r="B556" s="55"/>
      <c r="C556" s="55"/>
    </row>
    <row r="557">
      <c r="A557" s="55"/>
      <c r="B557" s="55"/>
      <c r="C557" s="55"/>
    </row>
    <row r="558">
      <c r="A558" s="55"/>
      <c r="B558" s="55"/>
      <c r="C558" s="55"/>
    </row>
    <row r="559">
      <c r="A559" s="55"/>
      <c r="B559" s="55"/>
      <c r="C559" s="55"/>
    </row>
    <row r="560">
      <c r="A560" s="55"/>
      <c r="B560" s="55"/>
      <c r="C560" s="55"/>
    </row>
    <row r="561">
      <c r="A561" s="55"/>
      <c r="B561" s="55"/>
      <c r="C561" s="55"/>
    </row>
    <row r="562">
      <c r="A562" s="55"/>
      <c r="B562" s="55"/>
      <c r="C562" s="55"/>
    </row>
    <row r="563">
      <c r="A563" s="55"/>
      <c r="B563" s="55"/>
      <c r="C563" s="55"/>
    </row>
    <row r="564">
      <c r="A564" s="55"/>
      <c r="B564" s="55"/>
      <c r="C564" s="55"/>
    </row>
    <row r="565">
      <c r="A565" s="55"/>
      <c r="B565" s="55"/>
      <c r="C565" s="55"/>
    </row>
    <row r="566">
      <c r="A566" s="55"/>
      <c r="B566" s="55"/>
      <c r="C566" s="55"/>
    </row>
    <row r="567">
      <c r="A567" s="55"/>
      <c r="B567" s="55"/>
      <c r="C567" s="55"/>
    </row>
    <row r="568">
      <c r="A568" s="55"/>
      <c r="B568" s="55"/>
      <c r="C568" s="55"/>
    </row>
    <row r="569">
      <c r="A569" s="55"/>
      <c r="B569" s="55"/>
      <c r="C569" s="55"/>
    </row>
    <row r="570">
      <c r="A570" s="55"/>
      <c r="B570" s="55"/>
      <c r="C570" s="55"/>
    </row>
    <row r="571">
      <c r="A571" s="55"/>
      <c r="B571" s="55"/>
      <c r="C571" s="55"/>
    </row>
    <row r="572">
      <c r="A572" s="55"/>
      <c r="B572" s="55"/>
      <c r="C572" s="55"/>
    </row>
    <row r="573">
      <c r="A573" s="55"/>
      <c r="B573" s="55"/>
      <c r="C573" s="55"/>
    </row>
    <row r="574">
      <c r="A574" s="55"/>
      <c r="B574" s="55"/>
      <c r="C574" s="55"/>
    </row>
    <row r="575">
      <c r="A575" s="55"/>
      <c r="B575" s="55"/>
      <c r="C575" s="55"/>
    </row>
    <row r="576">
      <c r="A576" s="55"/>
      <c r="B576" s="55"/>
      <c r="C576" s="55"/>
    </row>
    <row r="577">
      <c r="A577" s="55"/>
      <c r="B577" s="55"/>
      <c r="C577" s="55"/>
    </row>
    <row r="578">
      <c r="A578" s="55"/>
      <c r="B578" s="55"/>
      <c r="C578" s="55"/>
    </row>
    <row r="579">
      <c r="A579" s="55"/>
      <c r="B579" s="55"/>
      <c r="C579" s="55"/>
    </row>
    <row r="580">
      <c r="A580" s="55"/>
      <c r="B580" s="55"/>
      <c r="C580" s="55"/>
    </row>
    <row r="581">
      <c r="A581" s="55"/>
      <c r="B581" s="55"/>
      <c r="C581" s="55"/>
    </row>
    <row r="582">
      <c r="A582" s="55"/>
      <c r="B582" s="55"/>
      <c r="C582" s="55"/>
    </row>
    <row r="583">
      <c r="A583" s="55"/>
      <c r="B583" s="55"/>
      <c r="C583" s="55"/>
    </row>
    <row r="584">
      <c r="A584" s="55"/>
      <c r="B584" s="55"/>
      <c r="C584" s="55"/>
    </row>
    <row r="585">
      <c r="A585" s="55"/>
      <c r="B585" s="55"/>
      <c r="C585" s="55"/>
    </row>
    <row r="586">
      <c r="A586" s="55"/>
      <c r="B586" s="55"/>
      <c r="C586" s="55"/>
    </row>
    <row r="587">
      <c r="A587" s="55"/>
      <c r="B587" s="55"/>
      <c r="C587" s="55"/>
    </row>
    <row r="588">
      <c r="A588" s="55"/>
      <c r="B588" s="55"/>
      <c r="C588" s="55"/>
    </row>
    <row r="589">
      <c r="A589" s="55"/>
      <c r="B589" s="55"/>
      <c r="C589" s="55"/>
    </row>
    <row r="590">
      <c r="A590" s="55"/>
      <c r="B590" s="55"/>
      <c r="C590" s="55"/>
    </row>
    <row r="591">
      <c r="A591" s="55"/>
      <c r="B591" s="55"/>
      <c r="C591" s="55"/>
    </row>
    <row r="592">
      <c r="A592" s="55"/>
      <c r="B592" s="55"/>
      <c r="C592" s="55"/>
    </row>
    <row r="593">
      <c r="A593" s="55"/>
      <c r="B593" s="55"/>
      <c r="C593" s="55"/>
    </row>
    <row r="594">
      <c r="A594" s="55"/>
      <c r="B594" s="55"/>
      <c r="C594" s="55"/>
    </row>
    <row r="595">
      <c r="A595" s="55"/>
      <c r="B595" s="55"/>
      <c r="C595" s="55"/>
    </row>
    <row r="596">
      <c r="A596" s="55"/>
      <c r="B596" s="55"/>
      <c r="C596" s="55"/>
    </row>
    <row r="597">
      <c r="A597" s="55"/>
      <c r="B597" s="55"/>
      <c r="C597" s="55"/>
    </row>
    <row r="598">
      <c r="A598" s="55"/>
      <c r="B598" s="55"/>
      <c r="C598" s="55"/>
    </row>
    <row r="599">
      <c r="A599" s="55"/>
      <c r="B599" s="55"/>
      <c r="C599" s="55"/>
    </row>
    <row r="600">
      <c r="A600" s="55"/>
      <c r="B600" s="55"/>
      <c r="C600" s="55"/>
    </row>
    <row r="601">
      <c r="A601" s="55"/>
      <c r="B601" s="55"/>
      <c r="C601" s="55"/>
    </row>
    <row r="602">
      <c r="A602" s="55"/>
      <c r="B602" s="55"/>
      <c r="C602" s="55"/>
    </row>
    <row r="603">
      <c r="A603" s="55"/>
      <c r="B603" s="55"/>
      <c r="C603" s="55"/>
    </row>
    <row r="604">
      <c r="A604" s="55"/>
      <c r="B604" s="55"/>
      <c r="C604" s="55"/>
    </row>
    <row r="605">
      <c r="A605" s="55"/>
      <c r="B605" s="55"/>
      <c r="C605" s="55"/>
    </row>
    <row r="606">
      <c r="A606" s="55"/>
      <c r="B606" s="55"/>
      <c r="C606" s="55"/>
    </row>
    <row r="607">
      <c r="A607" s="55"/>
      <c r="B607" s="55"/>
      <c r="C607" s="55"/>
    </row>
    <row r="608">
      <c r="A608" s="55"/>
      <c r="B608" s="55"/>
      <c r="C608" s="55"/>
    </row>
    <row r="609">
      <c r="A609" s="55"/>
      <c r="B609" s="55"/>
      <c r="C609" s="55"/>
    </row>
    <row r="610">
      <c r="A610" s="55"/>
      <c r="B610" s="55"/>
      <c r="C610" s="55"/>
    </row>
    <row r="611">
      <c r="A611" s="55"/>
      <c r="B611" s="55"/>
      <c r="C611" s="55"/>
    </row>
    <row r="612">
      <c r="A612" s="55"/>
      <c r="B612" s="55"/>
      <c r="C612" s="55"/>
    </row>
    <row r="613">
      <c r="A613" s="55"/>
      <c r="B613" s="55"/>
      <c r="C613" s="55"/>
    </row>
    <row r="614">
      <c r="A614" s="55"/>
      <c r="B614" s="55"/>
      <c r="C614" s="55"/>
    </row>
    <row r="615">
      <c r="A615" s="55"/>
      <c r="B615" s="55"/>
      <c r="C615" s="55"/>
    </row>
    <row r="616">
      <c r="A616" s="55"/>
      <c r="B616" s="55"/>
      <c r="C616" s="55"/>
    </row>
    <row r="617">
      <c r="A617" s="55"/>
      <c r="B617" s="55"/>
      <c r="C617" s="55"/>
    </row>
    <row r="618">
      <c r="A618" s="55"/>
      <c r="B618" s="55"/>
      <c r="C618" s="55"/>
    </row>
    <row r="619">
      <c r="A619" s="55"/>
      <c r="B619" s="55"/>
      <c r="C619" s="55"/>
    </row>
    <row r="620">
      <c r="A620" s="55"/>
      <c r="B620" s="55"/>
      <c r="C620" s="55"/>
    </row>
    <row r="621">
      <c r="A621" s="55"/>
      <c r="B621" s="55"/>
      <c r="C621" s="55"/>
    </row>
    <row r="622">
      <c r="A622" s="55"/>
      <c r="B622" s="55"/>
      <c r="C622" s="55"/>
    </row>
    <row r="623">
      <c r="A623" s="55"/>
      <c r="B623" s="55"/>
      <c r="C623" s="55"/>
    </row>
    <row r="624">
      <c r="A624" s="55"/>
      <c r="B624" s="55"/>
      <c r="C624" s="55"/>
    </row>
    <row r="625">
      <c r="A625" s="55"/>
      <c r="B625" s="55"/>
      <c r="C625" s="55"/>
    </row>
    <row r="626">
      <c r="A626" s="55"/>
      <c r="B626" s="55"/>
      <c r="C626" s="55"/>
    </row>
    <row r="627">
      <c r="A627" s="55"/>
      <c r="B627" s="55"/>
      <c r="C627" s="55"/>
    </row>
    <row r="628">
      <c r="A628" s="55"/>
      <c r="B628" s="55"/>
      <c r="C628" s="55"/>
    </row>
    <row r="629">
      <c r="A629" s="55"/>
      <c r="B629" s="55"/>
      <c r="C629" s="55"/>
    </row>
    <row r="630">
      <c r="A630" s="55"/>
      <c r="B630" s="55"/>
      <c r="C630" s="55"/>
    </row>
    <row r="631">
      <c r="A631" s="55"/>
      <c r="B631" s="55"/>
      <c r="C631" s="55"/>
    </row>
    <row r="632">
      <c r="A632" s="55"/>
      <c r="B632" s="55"/>
      <c r="C632" s="55"/>
    </row>
    <row r="633">
      <c r="A633" s="55"/>
      <c r="B633" s="55"/>
      <c r="C633" s="55"/>
    </row>
    <row r="634">
      <c r="A634" s="55"/>
      <c r="B634" s="55"/>
      <c r="C634" s="55"/>
    </row>
    <row r="635">
      <c r="A635" s="55"/>
      <c r="B635" s="55"/>
      <c r="C635" s="55"/>
    </row>
    <row r="636">
      <c r="A636" s="55"/>
      <c r="B636" s="55"/>
      <c r="C636" s="55"/>
    </row>
    <row r="637">
      <c r="A637" s="55"/>
      <c r="B637" s="55"/>
      <c r="C637" s="55"/>
    </row>
    <row r="638">
      <c r="A638" s="55"/>
      <c r="B638" s="55"/>
      <c r="C638" s="55"/>
    </row>
    <row r="639">
      <c r="A639" s="55"/>
      <c r="B639" s="55"/>
      <c r="C639" s="55"/>
    </row>
    <row r="640">
      <c r="A640" s="55"/>
      <c r="B640" s="55"/>
      <c r="C640" s="55"/>
    </row>
    <row r="641">
      <c r="A641" s="55"/>
      <c r="B641" s="55"/>
      <c r="C641" s="55"/>
    </row>
    <row r="642">
      <c r="A642" s="55"/>
      <c r="B642" s="55"/>
      <c r="C642" s="55"/>
    </row>
    <row r="643">
      <c r="A643" s="55"/>
      <c r="B643" s="55"/>
      <c r="C643" s="55"/>
    </row>
    <row r="644">
      <c r="A644" s="55"/>
      <c r="B644" s="55"/>
      <c r="C644" s="55"/>
    </row>
    <row r="645">
      <c r="A645" s="55"/>
      <c r="B645" s="55"/>
      <c r="C645" s="55"/>
    </row>
    <row r="646">
      <c r="A646" s="55"/>
      <c r="B646" s="55"/>
      <c r="C646" s="55"/>
    </row>
    <row r="647">
      <c r="A647" s="55"/>
      <c r="B647" s="55"/>
      <c r="C647" s="55"/>
    </row>
    <row r="648">
      <c r="A648" s="55"/>
      <c r="B648" s="55"/>
      <c r="C648" s="55"/>
    </row>
    <row r="649">
      <c r="A649" s="55"/>
      <c r="B649" s="55"/>
      <c r="C649" s="55"/>
    </row>
    <row r="650">
      <c r="A650" s="55"/>
      <c r="B650" s="55"/>
      <c r="C650" s="55"/>
    </row>
    <row r="651">
      <c r="A651" s="55"/>
      <c r="B651" s="55"/>
      <c r="C651" s="55"/>
    </row>
    <row r="652">
      <c r="A652" s="55"/>
      <c r="B652" s="55"/>
      <c r="C652" s="55"/>
    </row>
    <row r="653">
      <c r="A653" s="55"/>
      <c r="B653" s="55"/>
      <c r="C653" s="55"/>
    </row>
    <row r="654">
      <c r="A654" s="55"/>
      <c r="B654" s="55"/>
      <c r="C654" s="55"/>
    </row>
    <row r="655">
      <c r="A655" s="55"/>
      <c r="B655" s="55"/>
      <c r="C655" s="55"/>
    </row>
    <row r="656">
      <c r="A656" s="55"/>
      <c r="B656" s="55"/>
      <c r="C656" s="55"/>
    </row>
    <row r="657">
      <c r="A657" s="55"/>
      <c r="B657" s="55"/>
      <c r="C657" s="55"/>
    </row>
    <row r="658">
      <c r="A658" s="55"/>
      <c r="B658" s="55"/>
      <c r="C658" s="55"/>
    </row>
    <row r="659">
      <c r="A659" s="55"/>
      <c r="B659" s="55"/>
      <c r="C659" s="55"/>
    </row>
    <row r="660">
      <c r="A660" s="55"/>
      <c r="B660" s="55"/>
      <c r="C660" s="55"/>
    </row>
    <row r="661">
      <c r="A661" s="55"/>
      <c r="B661" s="55"/>
      <c r="C661" s="55"/>
    </row>
    <row r="662">
      <c r="A662" s="55"/>
      <c r="B662" s="55"/>
      <c r="C662" s="55"/>
    </row>
    <row r="663">
      <c r="A663" s="55"/>
      <c r="B663" s="55"/>
      <c r="C663" s="55"/>
    </row>
    <row r="664">
      <c r="A664" s="55"/>
      <c r="B664" s="55"/>
      <c r="C664" s="55"/>
    </row>
    <row r="665">
      <c r="A665" s="55"/>
      <c r="B665" s="55"/>
      <c r="C665" s="55"/>
    </row>
    <row r="666">
      <c r="A666" s="55"/>
      <c r="B666" s="55"/>
      <c r="C666" s="55"/>
    </row>
    <row r="667">
      <c r="A667" s="55"/>
      <c r="B667" s="55"/>
      <c r="C667" s="55"/>
    </row>
    <row r="668">
      <c r="A668" s="55"/>
      <c r="B668" s="55"/>
      <c r="C668" s="55"/>
    </row>
    <row r="669">
      <c r="A669" s="55"/>
      <c r="B669" s="55"/>
      <c r="C669" s="55"/>
    </row>
    <row r="670">
      <c r="A670" s="55"/>
      <c r="B670" s="55"/>
      <c r="C670" s="55"/>
    </row>
    <row r="671">
      <c r="A671" s="55"/>
      <c r="B671" s="55"/>
      <c r="C671" s="55"/>
    </row>
    <row r="672">
      <c r="A672" s="55"/>
      <c r="B672" s="55"/>
      <c r="C672" s="55"/>
    </row>
    <row r="673">
      <c r="A673" s="55"/>
      <c r="B673" s="55"/>
      <c r="C673" s="55"/>
    </row>
    <row r="674">
      <c r="A674" s="55"/>
      <c r="B674" s="55"/>
      <c r="C674" s="55"/>
    </row>
    <row r="675">
      <c r="A675" s="55"/>
      <c r="B675" s="55"/>
      <c r="C675" s="55"/>
    </row>
    <row r="676">
      <c r="A676" s="55"/>
      <c r="B676" s="55"/>
      <c r="C676" s="55"/>
    </row>
    <row r="677">
      <c r="A677" s="55"/>
      <c r="B677" s="55"/>
      <c r="C677" s="55"/>
    </row>
    <row r="678">
      <c r="A678" s="55"/>
      <c r="B678" s="55"/>
      <c r="C678" s="55"/>
    </row>
    <row r="679">
      <c r="A679" s="55"/>
      <c r="B679" s="55"/>
      <c r="C679" s="55"/>
    </row>
    <row r="680">
      <c r="A680" s="55"/>
      <c r="B680" s="55"/>
      <c r="C680" s="55"/>
    </row>
    <row r="681">
      <c r="A681" s="55"/>
      <c r="B681" s="55"/>
      <c r="C681" s="55"/>
    </row>
    <row r="682">
      <c r="A682" s="55"/>
      <c r="B682" s="55"/>
      <c r="C682" s="55"/>
    </row>
    <row r="683">
      <c r="A683" s="55"/>
      <c r="B683" s="55"/>
      <c r="C683" s="55"/>
    </row>
    <row r="684">
      <c r="A684" s="55"/>
      <c r="B684" s="55"/>
      <c r="C684" s="55"/>
    </row>
    <row r="685">
      <c r="A685" s="55"/>
      <c r="B685" s="55"/>
      <c r="C685" s="55"/>
    </row>
    <row r="686">
      <c r="A686" s="55"/>
      <c r="B686" s="55"/>
      <c r="C686" s="55"/>
    </row>
    <row r="687">
      <c r="A687" s="55"/>
      <c r="B687" s="55"/>
      <c r="C687" s="55"/>
    </row>
    <row r="688">
      <c r="A688" s="55"/>
      <c r="B688" s="55"/>
      <c r="C688" s="55"/>
    </row>
    <row r="689">
      <c r="A689" s="55"/>
      <c r="B689" s="55"/>
      <c r="C689" s="55"/>
    </row>
    <row r="690">
      <c r="A690" s="55"/>
      <c r="B690" s="55"/>
      <c r="C690" s="55"/>
    </row>
    <row r="691">
      <c r="A691" s="55"/>
      <c r="B691" s="55"/>
      <c r="C691" s="55"/>
    </row>
    <row r="692">
      <c r="A692" s="55"/>
      <c r="B692" s="55"/>
      <c r="C692" s="55"/>
    </row>
    <row r="693">
      <c r="A693" s="55"/>
      <c r="B693" s="55"/>
      <c r="C693" s="55"/>
    </row>
    <row r="694">
      <c r="A694" s="55"/>
      <c r="B694" s="55"/>
      <c r="C694" s="55"/>
    </row>
    <row r="695">
      <c r="A695" s="55"/>
      <c r="B695" s="55"/>
      <c r="C695" s="55"/>
    </row>
    <row r="696">
      <c r="A696" s="55"/>
      <c r="B696" s="55"/>
      <c r="C696" s="55"/>
    </row>
    <row r="697">
      <c r="A697" s="55"/>
      <c r="B697" s="55"/>
      <c r="C697" s="55"/>
    </row>
    <row r="698">
      <c r="A698" s="55"/>
      <c r="B698" s="55"/>
      <c r="C698" s="55"/>
    </row>
    <row r="699">
      <c r="A699" s="55"/>
      <c r="B699" s="55"/>
      <c r="C699" s="55"/>
    </row>
    <row r="700">
      <c r="A700" s="55"/>
      <c r="B700" s="55"/>
      <c r="C700" s="55"/>
    </row>
    <row r="701">
      <c r="A701" s="55"/>
      <c r="B701" s="55"/>
      <c r="C701" s="55"/>
    </row>
    <row r="702">
      <c r="A702" s="55"/>
      <c r="B702" s="55"/>
      <c r="C702" s="55"/>
    </row>
    <row r="703">
      <c r="A703" s="55"/>
      <c r="B703" s="55"/>
      <c r="C703" s="55"/>
    </row>
    <row r="704">
      <c r="A704" s="55"/>
      <c r="B704" s="55"/>
      <c r="C704" s="55"/>
    </row>
    <row r="705">
      <c r="A705" s="55"/>
      <c r="B705" s="55"/>
      <c r="C705" s="55"/>
    </row>
    <row r="706">
      <c r="A706" s="55"/>
      <c r="B706" s="55"/>
      <c r="C706" s="55"/>
    </row>
    <row r="707">
      <c r="A707" s="55"/>
      <c r="B707" s="55"/>
      <c r="C707" s="55"/>
    </row>
    <row r="708">
      <c r="A708" s="55"/>
      <c r="B708" s="55"/>
      <c r="C708" s="55"/>
    </row>
    <row r="709">
      <c r="A709" s="55"/>
      <c r="B709" s="55"/>
      <c r="C709" s="55"/>
    </row>
    <row r="710">
      <c r="A710" s="55"/>
      <c r="B710" s="55"/>
      <c r="C710" s="55"/>
    </row>
    <row r="711">
      <c r="A711" s="55"/>
      <c r="B711" s="55"/>
      <c r="C711" s="55"/>
    </row>
    <row r="712">
      <c r="A712" s="55"/>
      <c r="B712" s="55"/>
      <c r="C712" s="55"/>
    </row>
    <row r="713">
      <c r="A713" s="55"/>
      <c r="B713" s="55"/>
      <c r="C713" s="55"/>
    </row>
    <row r="714">
      <c r="A714" s="55"/>
      <c r="B714" s="55"/>
      <c r="C714" s="55"/>
    </row>
    <row r="715">
      <c r="A715" s="55"/>
      <c r="B715" s="55"/>
      <c r="C715" s="55"/>
    </row>
    <row r="716">
      <c r="A716" s="55"/>
      <c r="B716" s="55"/>
      <c r="C716" s="55"/>
    </row>
    <row r="717">
      <c r="A717" s="55"/>
      <c r="B717" s="55"/>
      <c r="C717" s="55"/>
    </row>
    <row r="718">
      <c r="A718" s="55"/>
      <c r="B718" s="55"/>
      <c r="C718" s="55"/>
    </row>
    <row r="719">
      <c r="A719" s="55"/>
      <c r="B719" s="55"/>
      <c r="C719" s="55"/>
    </row>
    <row r="720">
      <c r="A720" s="55"/>
      <c r="B720" s="55"/>
      <c r="C720" s="55"/>
    </row>
    <row r="721">
      <c r="A721" s="55"/>
      <c r="B721" s="55"/>
      <c r="C721" s="55"/>
    </row>
    <row r="722">
      <c r="A722" s="55"/>
      <c r="B722" s="55"/>
      <c r="C722" s="55"/>
    </row>
    <row r="723">
      <c r="A723" s="55"/>
      <c r="B723" s="55"/>
      <c r="C723" s="55"/>
    </row>
    <row r="724">
      <c r="A724" s="55"/>
      <c r="B724" s="55"/>
      <c r="C724" s="55"/>
    </row>
    <row r="725">
      <c r="A725" s="55"/>
      <c r="B725" s="55"/>
      <c r="C725" s="55"/>
    </row>
    <row r="726">
      <c r="A726" s="55"/>
      <c r="B726" s="55"/>
      <c r="C726" s="55"/>
    </row>
    <row r="727">
      <c r="A727" s="55"/>
      <c r="B727" s="55"/>
      <c r="C727" s="55"/>
    </row>
    <row r="728">
      <c r="A728" s="55"/>
      <c r="B728" s="55"/>
      <c r="C728" s="55"/>
    </row>
    <row r="729">
      <c r="A729" s="55"/>
      <c r="B729" s="55"/>
      <c r="C729" s="55"/>
    </row>
    <row r="730">
      <c r="A730" s="55"/>
      <c r="B730" s="55"/>
      <c r="C730" s="55"/>
    </row>
    <row r="731">
      <c r="A731" s="55"/>
      <c r="B731" s="55"/>
      <c r="C731" s="55"/>
    </row>
    <row r="732">
      <c r="A732" s="55"/>
      <c r="B732" s="55"/>
      <c r="C732" s="55"/>
    </row>
    <row r="733">
      <c r="A733" s="55"/>
      <c r="B733" s="55"/>
      <c r="C733" s="55"/>
    </row>
    <row r="734">
      <c r="A734" s="55"/>
      <c r="B734" s="55"/>
      <c r="C734" s="55"/>
    </row>
    <row r="735">
      <c r="A735" s="55"/>
      <c r="B735" s="55"/>
      <c r="C735" s="55"/>
    </row>
    <row r="736">
      <c r="A736" s="55"/>
      <c r="B736" s="55"/>
      <c r="C736" s="55"/>
    </row>
    <row r="737">
      <c r="A737" s="55"/>
      <c r="B737" s="55"/>
      <c r="C737" s="55"/>
    </row>
    <row r="738">
      <c r="A738" s="55"/>
      <c r="B738" s="55"/>
      <c r="C738" s="55"/>
    </row>
    <row r="739">
      <c r="A739" s="55"/>
      <c r="B739" s="55"/>
      <c r="C739" s="55"/>
    </row>
    <row r="740">
      <c r="A740" s="55"/>
      <c r="B740" s="55"/>
      <c r="C740" s="55"/>
    </row>
    <row r="741">
      <c r="A741" s="55"/>
      <c r="B741" s="55"/>
      <c r="C741" s="55"/>
    </row>
    <row r="742">
      <c r="A742" s="55"/>
      <c r="B742" s="55"/>
      <c r="C742" s="55"/>
    </row>
    <row r="743">
      <c r="A743" s="55"/>
      <c r="B743" s="55"/>
      <c r="C743" s="55"/>
    </row>
    <row r="744">
      <c r="A744" s="55"/>
      <c r="B744" s="55"/>
      <c r="C744" s="55"/>
    </row>
    <row r="745">
      <c r="A745" s="55"/>
      <c r="B745" s="55"/>
      <c r="C745" s="55"/>
    </row>
    <row r="746">
      <c r="A746" s="55"/>
      <c r="B746" s="55"/>
      <c r="C746" s="55"/>
    </row>
    <row r="747">
      <c r="A747" s="55"/>
      <c r="B747" s="55"/>
      <c r="C747" s="55"/>
    </row>
    <row r="748">
      <c r="A748" s="55"/>
      <c r="B748" s="55"/>
      <c r="C748" s="55"/>
    </row>
    <row r="749">
      <c r="A749" s="55"/>
      <c r="B749" s="55"/>
      <c r="C749" s="55"/>
    </row>
    <row r="750">
      <c r="A750" s="55"/>
      <c r="B750" s="55"/>
      <c r="C750" s="55"/>
    </row>
    <row r="751">
      <c r="A751" s="55"/>
      <c r="B751" s="55"/>
      <c r="C751" s="55"/>
    </row>
    <row r="752">
      <c r="A752" s="55"/>
      <c r="B752" s="55"/>
      <c r="C752" s="55"/>
    </row>
    <row r="753">
      <c r="A753" s="55"/>
      <c r="B753" s="55"/>
      <c r="C753" s="55"/>
    </row>
    <row r="754">
      <c r="A754" s="55"/>
      <c r="B754" s="55"/>
      <c r="C754" s="55"/>
    </row>
    <row r="755">
      <c r="A755" s="55"/>
      <c r="B755" s="55"/>
      <c r="C755" s="55"/>
    </row>
    <row r="756">
      <c r="A756" s="55"/>
      <c r="B756" s="55"/>
      <c r="C756" s="55"/>
    </row>
    <row r="757">
      <c r="A757" s="55"/>
      <c r="B757" s="55"/>
      <c r="C757" s="55"/>
    </row>
    <row r="758">
      <c r="A758" s="55"/>
      <c r="B758" s="55"/>
      <c r="C758" s="55"/>
    </row>
    <row r="759">
      <c r="A759" s="55"/>
      <c r="B759" s="55"/>
      <c r="C759" s="55"/>
    </row>
    <row r="760">
      <c r="A760" s="55"/>
      <c r="B760" s="55"/>
      <c r="C760" s="55"/>
    </row>
    <row r="761">
      <c r="A761" s="55"/>
      <c r="B761" s="55"/>
      <c r="C761" s="55"/>
    </row>
    <row r="762">
      <c r="A762" s="55"/>
      <c r="B762" s="55"/>
      <c r="C762" s="55"/>
    </row>
    <row r="763">
      <c r="A763" s="55"/>
      <c r="B763" s="55"/>
      <c r="C763" s="55"/>
    </row>
    <row r="764">
      <c r="A764" s="55"/>
      <c r="B764" s="55"/>
      <c r="C764" s="55"/>
    </row>
    <row r="765">
      <c r="A765" s="55"/>
      <c r="B765" s="55"/>
      <c r="C765" s="55"/>
    </row>
    <row r="766">
      <c r="A766" s="55"/>
      <c r="B766" s="55"/>
      <c r="C766" s="55"/>
    </row>
    <row r="767">
      <c r="A767" s="55"/>
      <c r="B767" s="55"/>
      <c r="C767" s="55"/>
    </row>
    <row r="768">
      <c r="A768" s="55"/>
      <c r="B768" s="55"/>
      <c r="C768" s="55"/>
    </row>
    <row r="769">
      <c r="A769" s="55"/>
      <c r="B769" s="55"/>
      <c r="C769" s="55"/>
    </row>
    <row r="770">
      <c r="A770" s="55"/>
      <c r="B770" s="55"/>
      <c r="C770" s="55"/>
    </row>
    <row r="771">
      <c r="A771" s="55"/>
      <c r="B771" s="55"/>
      <c r="C771" s="55"/>
    </row>
    <row r="772">
      <c r="A772" s="55"/>
      <c r="B772" s="55"/>
      <c r="C772" s="55"/>
    </row>
    <row r="773">
      <c r="A773" s="55"/>
      <c r="B773" s="55"/>
      <c r="C773" s="55"/>
    </row>
    <row r="774">
      <c r="A774" s="55"/>
      <c r="B774" s="55"/>
      <c r="C774" s="55"/>
    </row>
    <row r="775">
      <c r="A775" s="55"/>
      <c r="B775" s="55"/>
      <c r="C775" s="55"/>
    </row>
    <row r="776">
      <c r="A776" s="55"/>
      <c r="B776" s="55"/>
      <c r="C776" s="55"/>
    </row>
    <row r="777">
      <c r="A777" s="55"/>
      <c r="B777" s="55"/>
      <c r="C777" s="55"/>
    </row>
    <row r="778">
      <c r="A778" s="55"/>
      <c r="B778" s="55"/>
      <c r="C778" s="55"/>
    </row>
    <row r="779">
      <c r="A779" s="55"/>
      <c r="B779" s="55"/>
      <c r="C779" s="55"/>
    </row>
    <row r="780">
      <c r="A780" s="55"/>
      <c r="B780" s="55"/>
      <c r="C780" s="55"/>
    </row>
    <row r="781">
      <c r="A781" s="55"/>
      <c r="B781" s="55"/>
      <c r="C781" s="55"/>
    </row>
    <row r="782">
      <c r="A782" s="55"/>
      <c r="B782" s="55"/>
      <c r="C782" s="55"/>
    </row>
    <row r="783">
      <c r="A783" s="55"/>
      <c r="B783" s="55"/>
      <c r="C783" s="55"/>
    </row>
    <row r="784">
      <c r="A784" s="55"/>
      <c r="B784" s="55"/>
      <c r="C784" s="55"/>
    </row>
    <row r="785">
      <c r="A785" s="55"/>
      <c r="B785" s="55"/>
      <c r="C785" s="55"/>
    </row>
    <row r="786">
      <c r="A786" s="55"/>
      <c r="B786" s="55"/>
      <c r="C786" s="55"/>
    </row>
    <row r="787">
      <c r="A787" s="55"/>
      <c r="B787" s="55"/>
      <c r="C787" s="55"/>
    </row>
    <row r="788">
      <c r="A788" s="55"/>
      <c r="B788" s="55"/>
      <c r="C788" s="55"/>
    </row>
    <row r="789">
      <c r="A789" s="55"/>
      <c r="B789" s="55"/>
      <c r="C789" s="55"/>
    </row>
    <row r="790">
      <c r="A790" s="55"/>
      <c r="B790" s="55"/>
      <c r="C790" s="55"/>
    </row>
    <row r="791">
      <c r="A791" s="55"/>
      <c r="B791" s="55"/>
      <c r="C791" s="55"/>
    </row>
    <row r="792">
      <c r="A792" s="55"/>
      <c r="B792" s="55"/>
      <c r="C792" s="55"/>
    </row>
    <row r="793">
      <c r="A793" s="55"/>
      <c r="B793" s="55"/>
      <c r="C793" s="55"/>
    </row>
    <row r="794">
      <c r="A794" s="55"/>
      <c r="B794" s="55"/>
      <c r="C794" s="55"/>
    </row>
    <row r="795">
      <c r="A795" s="55"/>
      <c r="B795" s="55"/>
      <c r="C795" s="55"/>
    </row>
    <row r="796">
      <c r="A796" s="55"/>
      <c r="B796" s="55"/>
      <c r="C796" s="55"/>
    </row>
    <row r="797">
      <c r="A797" s="55"/>
      <c r="B797" s="55"/>
      <c r="C797" s="55"/>
    </row>
    <row r="798">
      <c r="A798" s="55"/>
      <c r="B798" s="55"/>
      <c r="C798" s="55"/>
    </row>
    <row r="799">
      <c r="A799" s="55"/>
      <c r="B799" s="55"/>
      <c r="C799" s="55"/>
    </row>
    <row r="800">
      <c r="A800" s="55"/>
      <c r="B800" s="55"/>
      <c r="C800" s="55"/>
    </row>
    <row r="801">
      <c r="A801" s="55"/>
      <c r="B801" s="55"/>
      <c r="C801" s="55"/>
    </row>
    <row r="802">
      <c r="A802" s="55"/>
      <c r="B802" s="55"/>
      <c r="C802" s="55"/>
    </row>
    <row r="803">
      <c r="A803" s="55"/>
      <c r="B803" s="55"/>
      <c r="C803" s="55"/>
    </row>
    <row r="804">
      <c r="A804" s="55"/>
      <c r="B804" s="55"/>
      <c r="C804" s="55"/>
    </row>
    <row r="805">
      <c r="A805" s="55"/>
      <c r="B805" s="55"/>
      <c r="C805" s="55"/>
    </row>
    <row r="806">
      <c r="A806" s="55"/>
      <c r="B806" s="55"/>
      <c r="C806" s="55"/>
    </row>
    <row r="807">
      <c r="A807" s="55"/>
      <c r="B807" s="55"/>
      <c r="C807" s="55"/>
    </row>
    <row r="808">
      <c r="A808" s="55"/>
      <c r="B808" s="55"/>
      <c r="C808" s="55"/>
    </row>
    <row r="809">
      <c r="A809" s="55"/>
      <c r="B809" s="55"/>
      <c r="C809" s="55"/>
    </row>
    <row r="810">
      <c r="A810" s="55"/>
      <c r="B810" s="55"/>
      <c r="C810" s="55"/>
    </row>
    <row r="811">
      <c r="A811" s="55"/>
      <c r="B811" s="55"/>
      <c r="C811" s="55"/>
    </row>
    <row r="812">
      <c r="A812" s="55"/>
      <c r="B812" s="55"/>
      <c r="C812" s="55"/>
    </row>
    <row r="813">
      <c r="A813" s="55"/>
      <c r="B813" s="55"/>
      <c r="C813" s="55"/>
    </row>
    <row r="814">
      <c r="A814" s="55"/>
      <c r="B814" s="55"/>
      <c r="C814" s="55"/>
    </row>
    <row r="815">
      <c r="A815" s="55"/>
      <c r="B815" s="55"/>
      <c r="C815" s="55"/>
    </row>
    <row r="816">
      <c r="A816" s="55"/>
      <c r="B816" s="55"/>
      <c r="C816" s="55"/>
    </row>
    <row r="817">
      <c r="A817" s="55"/>
      <c r="B817" s="55"/>
      <c r="C817" s="55"/>
    </row>
    <row r="818">
      <c r="A818" s="55"/>
      <c r="B818" s="55"/>
      <c r="C818" s="55"/>
    </row>
    <row r="819">
      <c r="A819" s="55"/>
      <c r="B819" s="55"/>
      <c r="C819" s="55"/>
    </row>
    <row r="820">
      <c r="A820" s="55"/>
      <c r="B820" s="55"/>
      <c r="C820" s="55"/>
    </row>
    <row r="821">
      <c r="A821" s="55"/>
      <c r="B821" s="55"/>
      <c r="C821" s="55"/>
    </row>
    <row r="822">
      <c r="A822" s="55"/>
      <c r="B822" s="55"/>
      <c r="C822" s="55"/>
    </row>
    <row r="823">
      <c r="A823" s="55"/>
      <c r="B823" s="55"/>
      <c r="C823" s="55"/>
    </row>
    <row r="824">
      <c r="A824" s="55"/>
      <c r="B824" s="55"/>
      <c r="C824" s="55"/>
    </row>
    <row r="825">
      <c r="A825" s="55"/>
      <c r="B825" s="55"/>
      <c r="C825" s="55"/>
    </row>
    <row r="826">
      <c r="A826" s="55"/>
      <c r="B826" s="55"/>
      <c r="C826" s="55"/>
    </row>
    <row r="827">
      <c r="A827" s="55"/>
      <c r="B827" s="55"/>
      <c r="C827" s="55"/>
    </row>
    <row r="828">
      <c r="A828" s="55"/>
      <c r="B828" s="55"/>
      <c r="C828" s="55"/>
    </row>
    <row r="829">
      <c r="A829" s="55"/>
      <c r="B829" s="55"/>
      <c r="C829" s="55"/>
    </row>
    <row r="830">
      <c r="A830" s="55"/>
      <c r="B830" s="55"/>
      <c r="C830" s="55"/>
    </row>
    <row r="831">
      <c r="A831" s="55"/>
      <c r="B831" s="55"/>
      <c r="C831" s="55"/>
    </row>
    <row r="832">
      <c r="A832" s="55"/>
      <c r="B832" s="55"/>
      <c r="C832" s="55"/>
    </row>
    <row r="833">
      <c r="A833" s="55"/>
      <c r="B833" s="55"/>
      <c r="C833" s="55"/>
    </row>
    <row r="834">
      <c r="A834" s="55"/>
      <c r="B834" s="55"/>
      <c r="C834" s="55"/>
    </row>
    <row r="835">
      <c r="A835" s="55"/>
      <c r="B835" s="55"/>
      <c r="C835" s="55"/>
    </row>
    <row r="836">
      <c r="A836" s="55"/>
      <c r="B836" s="55"/>
      <c r="C836" s="55"/>
    </row>
    <row r="837">
      <c r="A837" s="55"/>
      <c r="B837" s="55"/>
      <c r="C837" s="55"/>
    </row>
    <row r="838">
      <c r="A838" s="55"/>
      <c r="B838" s="55"/>
      <c r="C838" s="55"/>
    </row>
    <row r="839">
      <c r="A839" s="55"/>
      <c r="B839" s="55"/>
      <c r="C839" s="55"/>
    </row>
    <row r="840">
      <c r="A840" s="55"/>
      <c r="B840" s="55"/>
      <c r="C840" s="55"/>
    </row>
    <row r="841">
      <c r="A841" s="55"/>
      <c r="B841" s="55"/>
      <c r="C841" s="55"/>
    </row>
    <row r="842">
      <c r="A842" s="55"/>
      <c r="B842" s="55"/>
      <c r="C842" s="55"/>
    </row>
    <row r="843">
      <c r="A843" s="55"/>
      <c r="B843" s="55"/>
      <c r="C843" s="55"/>
    </row>
    <row r="844">
      <c r="A844" s="55"/>
      <c r="B844" s="55"/>
      <c r="C844" s="55"/>
    </row>
    <row r="845">
      <c r="A845" s="55"/>
      <c r="B845" s="55"/>
      <c r="C845" s="55"/>
    </row>
    <row r="846">
      <c r="A846" s="55"/>
      <c r="B846" s="55"/>
      <c r="C846" s="55"/>
    </row>
    <row r="847">
      <c r="A847" s="55"/>
      <c r="B847" s="55"/>
      <c r="C847" s="55"/>
    </row>
    <row r="848">
      <c r="A848" s="55"/>
      <c r="B848" s="55"/>
      <c r="C848" s="55"/>
    </row>
    <row r="849">
      <c r="A849" s="55"/>
      <c r="B849" s="55"/>
      <c r="C849" s="55"/>
    </row>
    <row r="850">
      <c r="A850" s="55"/>
      <c r="B850" s="55"/>
      <c r="C850" s="55"/>
    </row>
    <row r="851">
      <c r="A851" s="55"/>
      <c r="B851" s="55"/>
      <c r="C851" s="55"/>
    </row>
    <row r="852">
      <c r="A852" s="55"/>
      <c r="B852" s="55"/>
      <c r="C852" s="55"/>
    </row>
    <row r="853">
      <c r="A853" s="55"/>
      <c r="B853" s="55"/>
      <c r="C853" s="55"/>
    </row>
    <row r="854">
      <c r="A854" s="55"/>
      <c r="B854" s="55"/>
      <c r="C854" s="55"/>
    </row>
    <row r="855">
      <c r="A855" s="55"/>
      <c r="B855" s="55"/>
      <c r="C855" s="55"/>
    </row>
    <row r="856">
      <c r="A856" s="55"/>
      <c r="B856" s="55"/>
      <c r="C856" s="55"/>
    </row>
    <row r="857">
      <c r="A857" s="55"/>
      <c r="B857" s="55"/>
      <c r="C857" s="55"/>
    </row>
    <row r="858">
      <c r="A858" s="55"/>
      <c r="B858" s="55"/>
      <c r="C858" s="55"/>
    </row>
    <row r="859">
      <c r="A859" s="55"/>
      <c r="B859" s="55"/>
      <c r="C859" s="55"/>
    </row>
    <row r="860">
      <c r="A860" s="55"/>
      <c r="B860" s="55"/>
      <c r="C860" s="55"/>
    </row>
    <row r="861">
      <c r="A861" s="55"/>
      <c r="B861" s="55"/>
      <c r="C861" s="55"/>
    </row>
    <row r="862">
      <c r="A862" s="55"/>
      <c r="B862" s="55"/>
      <c r="C862" s="55"/>
    </row>
    <row r="863">
      <c r="A863" s="55"/>
      <c r="B863" s="55"/>
      <c r="C863" s="55"/>
    </row>
    <row r="864">
      <c r="A864" s="55"/>
      <c r="B864" s="55"/>
      <c r="C864" s="55"/>
    </row>
    <row r="865">
      <c r="A865" s="55"/>
      <c r="B865" s="55"/>
      <c r="C865" s="55"/>
    </row>
    <row r="866">
      <c r="A866" s="55"/>
      <c r="B866" s="55"/>
      <c r="C866" s="55"/>
    </row>
    <row r="867">
      <c r="A867" s="55"/>
      <c r="B867" s="55"/>
      <c r="C867" s="55"/>
    </row>
    <row r="868">
      <c r="A868" s="55"/>
      <c r="B868" s="55"/>
      <c r="C868" s="55"/>
    </row>
    <row r="869">
      <c r="A869" s="55"/>
      <c r="B869" s="55"/>
      <c r="C869" s="55"/>
    </row>
    <row r="870">
      <c r="A870" s="55"/>
      <c r="B870" s="55"/>
      <c r="C870" s="55"/>
    </row>
    <row r="871">
      <c r="A871" s="55"/>
      <c r="B871" s="55"/>
      <c r="C871" s="55"/>
    </row>
    <row r="872">
      <c r="A872" s="55"/>
      <c r="B872" s="55"/>
      <c r="C872" s="55"/>
    </row>
    <row r="873">
      <c r="A873" s="55"/>
      <c r="B873" s="55"/>
      <c r="C873" s="55"/>
    </row>
    <row r="874">
      <c r="A874" s="55"/>
      <c r="B874" s="55"/>
      <c r="C874" s="55"/>
    </row>
    <row r="875">
      <c r="A875" s="55"/>
      <c r="B875" s="55"/>
      <c r="C875" s="55"/>
    </row>
    <row r="876">
      <c r="A876" s="55"/>
      <c r="B876" s="55"/>
      <c r="C876" s="55"/>
    </row>
    <row r="877">
      <c r="A877" s="55"/>
      <c r="B877" s="55"/>
      <c r="C877" s="55"/>
    </row>
    <row r="878">
      <c r="A878" s="55"/>
      <c r="B878" s="55"/>
      <c r="C878" s="55"/>
    </row>
    <row r="879">
      <c r="A879" s="55"/>
      <c r="B879" s="55"/>
      <c r="C879" s="55"/>
    </row>
    <row r="880">
      <c r="A880" s="55"/>
      <c r="B880" s="55"/>
      <c r="C880" s="55"/>
    </row>
    <row r="881">
      <c r="A881" s="55"/>
      <c r="B881" s="55"/>
      <c r="C881" s="55"/>
    </row>
    <row r="882">
      <c r="A882" s="55"/>
      <c r="B882" s="55"/>
      <c r="C882" s="55"/>
    </row>
    <row r="883">
      <c r="A883" s="55"/>
      <c r="B883" s="55"/>
      <c r="C883" s="55"/>
    </row>
    <row r="884">
      <c r="A884" s="55"/>
      <c r="B884" s="55"/>
      <c r="C884" s="55"/>
    </row>
    <row r="885">
      <c r="A885" s="55"/>
      <c r="B885" s="55"/>
      <c r="C885" s="55"/>
    </row>
    <row r="886">
      <c r="A886" s="55"/>
      <c r="B886" s="55"/>
      <c r="C886" s="55"/>
    </row>
    <row r="887">
      <c r="A887" s="55"/>
      <c r="B887" s="55"/>
      <c r="C887" s="55"/>
    </row>
    <row r="888">
      <c r="A888" s="55"/>
      <c r="B888" s="55"/>
      <c r="C888" s="55"/>
    </row>
    <row r="889">
      <c r="A889" s="55"/>
      <c r="B889" s="55"/>
      <c r="C889" s="55"/>
    </row>
    <row r="890">
      <c r="A890" s="55"/>
      <c r="B890" s="55"/>
      <c r="C890" s="55"/>
    </row>
    <row r="891">
      <c r="A891" s="55"/>
      <c r="B891" s="55"/>
      <c r="C891" s="55"/>
    </row>
    <row r="892">
      <c r="A892" s="55"/>
      <c r="B892" s="55"/>
      <c r="C892" s="55"/>
    </row>
    <row r="893">
      <c r="A893" s="55"/>
      <c r="B893" s="55"/>
      <c r="C893" s="55"/>
    </row>
    <row r="894">
      <c r="A894" s="55"/>
      <c r="B894" s="55"/>
      <c r="C894" s="55"/>
    </row>
    <row r="895">
      <c r="A895" s="55"/>
      <c r="B895" s="55"/>
      <c r="C895" s="55"/>
    </row>
    <row r="896">
      <c r="A896" s="55"/>
      <c r="B896" s="55"/>
      <c r="C896" s="55"/>
    </row>
    <row r="897">
      <c r="A897" s="55"/>
      <c r="B897" s="55"/>
      <c r="C897" s="55"/>
    </row>
    <row r="898">
      <c r="A898" s="55"/>
      <c r="B898" s="55"/>
      <c r="C898" s="55"/>
    </row>
    <row r="899">
      <c r="A899" s="55"/>
      <c r="B899" s="55"/>
      <c r="C899" s="55"/>
    </row>
    <row r="900">
      <c r="A900" s="55"/>
      <c r="B900" s="55"/>
      <c r="C900" s="55"/>
    </row>
    <row r="901">
      <c r="A901" s="55"/>
      <c r="B901" s="55"/>
      <c r="C901" s="55"/>
    </row>
    <row r="902">
      <c r="A902" s="55"/>
      <c r="B902" s="55"/>
      <c r="C902" s="55"/>
    </row>
    <row r="903">
      <c r="A903" s="55"/>
      <c r="B903" s="55"/>
      <c r="C903" s="55"/>
    </row>
    <row r="904">
      <c r="A904" s="55"/>
      <c r="B904" s="55"/>
      <c r="C904" s="55"/>
    </row>
    <row r="905">
      <c r="A905" s="55"/>
      <c r="B905" s="55"/>
      <c r="C905" s="55"/>
    </row>
    <row r="906">
      <c r="A906" s="55"/>
      <c r="B906" s="55"/>
      <c r="C906" s="55"/>
    </row>
    <row r="907">
      <c r="A907" s="55"/>
      <c r="B907" s="55"/>
      <c r="C907" s="55"/>
    </row>
    <row r="908">
      <c r="A908" s="55"/>
      <c r="B908" s="55"/>
      <c r="C908" s="55"/>
    </row>
    <row r="909">
      <c r="A909" s="55"/>
      <c r="B909" s="55"/>
      <c r="C909" s="55"/>
    </row>
    <row r="910">
      <c r="A910" s="55"/>
      <c r="B910" s="55"/>
      <c r="C910" s="55"/>
    </row>
    <row r="911">
      <c r="A911" s="55"/>
      <c r="B911" s="55"/>
      <c r="C911" s="55"/>
    </row>
    <row r="912">
      <c r="A912" s="55"/>
      <c r="B912" s="55"/>
      <c r="C912" s="55"/>
    </row>
    <row r="913">
      <c r="A913" s="55"/>
      <c r="B913" s="55"/>
      <c r="C913" s="55"/>
    </row>
    <row r="914">
      <c r="A914" s="55"/>
      <c r="B914" s="55"/>
      <c r="C914" s="55"/>
    </row>
    <row r="915">
      <c r="A915" s="55"/>
      <c r="B915" s="55"/>
      <c r="C915" s="55"/>
    </row>
    <row r="916">
      <c r="A916" s="55"/>
      <c r="B916" s="55"/>
      <c r="C916" s="55"/>
    </row>
    <row r="917">
      <c r="A917" s="55"/>
      <c r="B917" s="55"/>
      <c r="C917" s="55"/>
    </row>
    <row r="918">
      <c r="A918" s="55"/>
      <c r="B918" s="55"/>
      <c r="C918" s="55"/>
    </row>
    <row r="919">
      <c r="A919" s="55"/>
      <c r="B919" s="55"/>
      <c r="C919" s="55"/>
    </row>
    <row r="920">
      <c r="A920" s="55"/>
      <c r="B920" s="55"/>
      <c r="C920" s="55"/>
    </row>
    <row r="921">
      <c r="A921" s="55"/>
      <c r="B921" s="55"/>
      <c r="C921" s="55"/>
    </row>
    <row r="922">
      <c r="A922" s="55"/>
      <c r="B922" s="55"/>
      <c r="C922" s="55"/>
    </row>
    <row r="923">
      <c r="A923" s="55"/>
      <c r="B923" s="55"/>
      <c r="C923" s="55"/>
    </row>
    <row r="924">
      <c r="A924" s="55"/>
      <c r="B924" s="55"/>
      <c r="C924" s="55"/>
    </row>
    <row r="925">
      <c r="A925" s="55"/>
      <c r="B925" s="55"/>
      <c r="C925" s="55"/>
    </row>
    <row r="926">
      <c r="A926" s="55"/>
      <c r="B926" s="55"/>
      <c r="C926" s="55"/>
    </row>
    <row r="927">
      <c r="A927" s="55"/>
      <c r="B927" s="55"/>
      <c r="C927" s="55"/>
    </row>
    <row r="928">
      <c r="A928" s="55"/>
      <c r="B928" s="55"/>
      <c r="C928" s="55"/>
    </row>
    <row r="929">
      <c r="A929" s="55"/>
      <c r="B929" s="55"/>
      <c r="C929" s="55"/>
    </row>
    <row r="930">
      <c r="A930" s="55"/>
      <c r="B930" s="55"/>
      <c r="C930" s="55"/>
    </row>
    <row r="931">
      <c r="A931" s="55"/>
      <c r="B931" s="55"/>
      <c r="C931" s="55"/>
    </row>
    <row r="932">
      <c r="A932" s="55"/>
      <c r="B932" s="55"/>
      <c r="C932" s="55"/>
    </row>
    <row r="933">
      <c r="A933" s="55"/>
      <c r="B933" s="55"/>
      <c r="C933" s="55"/>
    </row>
    <row r="934">
      <c r="A934" s="55"/>
      <c r="B934" s="55"/>
      <c r="C934" s="55"/>
    </row>
    <row r="935">
      <c r="A935" s="55"/>
      <c r="B935" s="55"/>
      <c r="C935" s="55"/>
    </row>
    <row r="936">
      <c r="A936" s="55"/>
      <c r="B936" s="55"/>
      <c r="C936" s="55"/>
    </row>
    <row r="937">
      <c r="A937" s="55"/>
      <c r="B937" s="55"/>
      <c r="C937" s="55"/>
    </row>
    <row r="938">
      <c r="A938" s="55"/>
      <c r="B938" s="55"/>
      <c r="C938" s="55"/>
    </row>
    <row r="939">
      <c r="A939" s="55"/>
      <c r="B939" s="55"/>
      <c r="C939" s="55"/>
    </row>
    <row r="940">
      <c r="A940" s="55"/>
      <c r="B940" s="55"/>
      <c r="C940" s="55"/>
    </row>
    <row r="941">
      <c r="A941" s="55"/>
      <c r="B941" s="55"/>
      <c r="C941" s="55"/>
    </row>
    <row r="942">
      <c r="A942" s="55"/>
      <c r="B942" s="55"/>
      <c r="C942" s="55"/>
    </row>
    <row r="943">
      <c r="A943" s="55"/>
      <c r="B943" s="55"/>
      <c r="C943" s="55"/>
    </row>
    <row r="944">
      <c r="A944" s="55"/>
      <c r="B944" s="55"/>
      <c r="C944" s="55"/>
    </row>
    <row r="945">
      <c r="A945" s="55"/>
      <c r="B945" s="55"/>
      <c r="C945" s="55"/>
    </row>
    <row r="946">
      <c r="A946" s="55"/>
      <c r="B946" s="55"/>
      <c r="C946" s="55"/>
    </row>
    <row r="947">
      <c r="A947" s="55"/>
      <c r="B947" s="55"/>
      <c r="C947" s="55"/>
    </row>
    <row r="948">
      <c r="A948" s="55"/>
      <c r="B948" s="55"/>
      <c r="C948" s="55"/>
    </row>
    <row r="949">
      <c r="A949" s="55"/>
      <c r="B949" s="55"/>
      <c r="C949" s="55"/>
    </row>
    <row r="950">
      <c r="A950" s="55"/>
      <c r="B950" s="55"/>
      <c r="C950" s="55"/>
    </row>
    <row r="951">
      <c r="A951" s="55"/>
      <c r="B951" s="55"/>
      <c r="C951" s="55"/>
    </row>
    <row r="952">
      <c r="A952" s="55"/>
      <c r="B952" s="55"/>
      <c r="C952" s="55"/>
    </row>
    <row r="953">
      <c r="A953" s="55"/>
      <c r="B953" s="55"/>
      <c r="C953" s="55"/>
    </row>
    <row r="954">
      <c r="A954" s="55"/>
      <c r="B954" s="55"/>
      <c r="C954" s="55"/>
    </row>
    <row r="955">
      <c r="A955" s="55"/>
      <c r="B955" s="55"/>
      <c r="C955" s="55"/>
    </row>
    <row r="956">
      <c r="A956" s="55"/>
      <c r="B956" s="55"/>
      <c r="C956" s="55"/>
    </row>
    <row r="957">
      <c r="A957" s="55"/>
      <c r="B957" s="55"/>
      <c r="C957" s="55"/>
    </row>
    <row r="958">
      <c r="A958" s="55"/>
      <c r="B958" s="55"/>
      <c r="C958" s="55"/>
    </row>
    <row r="959">
      <c r="A959" s="55"/>
      <c r="B959" s="55"/>
      <c r="C959" s="55"/>
    </row>
    <row r="960">
      <c r="A960" s="55"/>
      <c r="B960" s="55"/>
      <c r="C960" s="55"/>
    </row>
    <row r="961">
      <c r="A961" s="55"/>
      <c r="B961" s="55"/>
      <c r="C961" s="55"/>
    </row>
    <row r="962">
      <c r="A962" s="55"/>
      <c r="B962" s="55"/>
      <c r="C962" s="55"/>
    </row>
    <row r="963">
      <c r="A963" s="55"/>
      <c r="B963" s="55"/>
      <c r="C963" s="55"/>
    </row>
    <row r="964">
      <c r="A964" s="55"/>
      <c r="B964" s="55"/>
      <c r="C964" s="55"/>
    </row>
    <row r="965">
      <c r="A965" s="55"/>
      <c r="B965" s="55"/>
      <c r="C965" s="55"/>
    </row>
    <row r="966">
      <c r="A966" s="55"/>
      <c r="B966" s="55"/>
      <c r="C966" s="55"/>
    </row>
    <row r="967">
      <c r="A967" s="55"/>
      <c r="B967" s="55"/>
      <c r="C967" s="55"/>
    </row>
    <row r="968">
      <c r="A968" s="55"/>
      <c r="B968" s="55"/>
      <c r="C968" s="55"/>
    </row>
    <row r="969">
      <c r="A969" s="55"/>
      <c r="B969" s="55"/>
      <c r="C969" s="55"/>
    </row>
    <row r="970">
      <c r="A970" s="55"/>
      <c r="B970" s="55"/>
      <c r="C970" s="55"/>
    </row>
    <row r="971">
      <c r="A971" s="55"/>
      <c r="B971" s="55"/>
      <c r="C971" s="55"/>
    </row>
    <row r="972">
      <c r="A972" s="55"/>
      <c r="B972" s="55"/>
      <c r="C972" s="55"/>
    </row>
    <row r="973">
      <c r="A973" s="55"/>
      <c r="B973" s="55"/>
      <c r="C973" s="55"/>
    </row>
    <row r="974">
      <c r="A974" s="55"/>
      <c r="B974" s="55"/>
      <c r="C974" s="55"/>
    </row>
    <row r="975">
      <c r="A975" s="55"/>
      <c r="B975" s="55"/>
      <c r="C975" s="55"/>
    </row>
    <row r="976">
      <c r="A976" s="55"/>
      <c r="B976" s="55"/>
      <c r="C976" s="55"/>
    </row>
    <row r="977">
      <c r="A977" s="55"/>
      <c r="B977" s="55"/>
      <c r="C977" s="55"/>
    </row>
    <row r="978">
      <c r="A978" s="55"/>
      <c r="B978" s="55"/>
      <c r="C978" s="55"/>
    </row>
    <row r="979">
      <c r="A979" s="55"/>
      <c r="B979" s="55"/>
      <c r="C979" s="55"/>
    </row>
    <row r="980">
      <c r="A980" s="55"/>
      <c r="B980" s="55"/>
      <c r="C980" s="55"/>
    </row>
    <row r="981">
      <c r="A981" s="55"/>
      <c r="B981" s="55"/>
      <c r="C981" s="55"/>
    </row>
    <row r="982">
      <c r="A982" s="55"/>
      <c r="B982" s="55"/>
      <c r="C982" s="55"/>
    </row>
    <row r="983">
      <c r="A983" s="55"/>
      <c r="B983" s="55"/>
      <c r="C983" s="55"/>
    </row>
    <row r="984">
      <c r="A984" s="55"/>
      <c r="B984" s="55"/>
      <c r="C984" s="55"/>
    </row>
    <row r="985">
      <c r="A985" s="55"/>
      <c r="B985" s="55"/>
      <c r="C985" s="55"/>
    </row>
    <row r="986">
      <c r="A986" s="55"/>
      <c r="B986" s="55"/>
      <c r="C986" s="55"/>
    </row>
    <row r="987">
      <c r="A987" s="55"/>
      <c r="B987" s="55"/>
      <c r="C987" s="55"/>
    </row>
    <row r="988">
      <c r="A988" s="55"/>
      <c r="B988" s="55"/>
      <c r="C988" s="55"/>
    </row>
    <row r="989">
      <c r="A989" s="55"/>
      <c r="B989" s="55"/>
      <c r="C989" s="55"/>
    </row>
    <row r="990">
      <c r="A990" s="55"/>
      <c r="B990" s="55"/>
      <c r="C990" s="55"/>
    </row>
    <row r="991">
      <c r="A991" s="55"/>
      <c r="B991" s="55"/>
      <c r="C991" s="55"/>
    </row>
    <row r="992">
      <c r="A992" s="55"/>
      <c r="B992" s="55"/>
      <c r="C992" s="55"/>
    </row>
    <row r="993">
      <c r="A993" s="55"/>
      <c r="B993" s="55"/>
      <c r="C993" s="5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1.86"/>
    <col customWidth="1" min="3" max="3" width="5.86"/>
    <col customWidth="1" min="4" max="4" width="29.0"/>
    <col customWidth="1" min="5" max="5" width="9.29"/>
    <col customWidth="1" min="6" max="8" width="8.0"/>
    <col customWidth="1" min="9" max="9" width="9.14"/>
  </cols>
  <sheetData>
    <row r="1">
      <c r="A1" s="61" t="s">
        <v>167</v>
      </c>
      <c r="B1" s="55"/>
      <c r="C1" s="55"/>
      <c r="D1" s="55"/>
      <c r="E1" s="105" t="s">
        <v>168</v>
      </c>
      <c r="F1" s="106" t="s">
        <v>169</v>
      </c>
      <c r="G1" s="106" t="s">
        <v>170</v>
      </c>
      <c r="H1" s="106" t="s">
        <v>171</v>
      </c>
      <c r="I1" s="106" t="s">
        <v>172</v>
      </c>
      <c r="J1" s="55"/>
    </row>
    <row r="2">
      <c r="A2" s="55" t="s">
        <v>173</v>
      </c>
      <c r="B2" s="55">
        <v>80.0</v>
      </c>
      <c r="C2" s="55"/>
      <c r="D2" s="107" t="s">
        <v>174</v>
      </c>
      <c r="E2" s="108">
        <v>30000.0</v>
      </c>
      <c r="F2" s="108">
        <v>40000.0</v>
      </c>
      <c r="G2" s="108">
        <v>45000.0</v>
      </c>
      <c r="H2" s="109">
        <v>55000.0</v>
      </c>
      <c r="I2" s="109">
        <v>75000.0</v>
      </c>
      <c r="J2" s="55"/>
    </row>
    <row r="3">
      <c r="A3" s="55" t="s">
        <v>175</v>
      </c>
      <c r="B3" s="55">
        <v>56.0</v>
      </c>
      <c r="C3" s="55"/>
      <c r="D3" s="107" t="s">
        <v>176</v>
      </c>
      <c r="E3" s="108">
        <v>0.0</v>
      </c>
      <c r="F3" s="108">
        <f>F2*B13</f>
        <v>2600</v>
      </c>
      <c r="G3" s="108">
        <f>G2*B13</f>
        <v>2925</v>
      </c>
      <c r="H3" s="108">
        <f>H2*B13</f>
        <v>3575</v>
      </c>
      <c r="I3" s="108">
        <f>I2*B13</f>
        <v>4875</v>
      </c>
      <c r="J3" s="55"/>
    </row>
    <row r="4">
      <c r="A4" s="55" t="s">
        <v>177</v>
      </c>
      <c r="B4" s="55">
        <v>56.0</v>
      </c>
      <c r="C4" s="55"/>
      <c r="D4" s="107" t="s">
        <v>178</v>
      </c>
      <c r="E4" s="108">
        <f>E2*B19</f>
        <v>3270</v>
      </c>
      <c r="F4" s="108">
        <f>F2*B19</f>
        <v>4360</v>
      </c>
      <c r="G4" s="108">
        <f>G2*B19</f>
        <v>4905</v>
      </c>
      <c r="H4" s="108">
        <f>H2*B19</f>
        <v>5995</v>
      </c>
      <c r="I4" s="108">
        <f>I2*B19</f>
        <v>8175</v>
      </c>
      <c r="J4" s="55"/>
    </row>
    <row r="5">
      <c r="A5" s="55" t="s">
        <v>179</v>
      </c>
      <c r="B5" s="55">
        <v>59.0</v>
      </c>
      <c r="C5" s="55"/>
      <c r="D5" s="107" t="s">
        <v>180</v>
      </c>
      <c r="E5" s="108">
        <v>0.0</v>
      </c>
      <c r="F5" s="108">
        <f>B28</f>
        <v>10500</v>
      </c>
      <c r="G5" s="108">
        <f>B28</f>
        <v>10500</v>
      </c>
      <c r="H5" s="108">
        <f>B28</f>
        <v>10500</v>
      </c>
      <c r="I5" s="108">
        <f>B28</f>
        <v>10500</v>
      </c>
      <c r="J5" s="55"/>
    </row>
    <row r="6">
      <c r="A6" s="93" t="s">
        <v>181</v>
      </c>
      <c r="B6" s="55">
        <v>251.0</v>
      </c>
      <c r="C6" s="55"/>
      <c r="D6" s="107" t="s">
        <v>182</v>
      </c>
      <c r="E6" s="108">
        <v>0.0</v>
      </c>
      <c r="F6" s="108">
        <f>F2*B23</f>
        <v>800</v>
      </c>
      <c r="G6" s="108">
        <f>G2*B23</f>
        <v>900</v>
      </c>
      <c r="H6" s="108">
        <f>H2*B23</f>
        <v>1100</v>
      </c>
      <c r="I6" s="108">
        <f>I2*B23</f>
        <v>1500</v>
      </c>
      <c r="J6" s="55"/>
    </row>
    <row r="7">
      <c r="A7" s="93" t="s">
        <v>183</v>
      </c>
      <c r="B7" s="55">
        <v>2080.0</v>
      </c>
      <c r="C7" s="55"/>
      <c r="D7" s="107" t="s">
        <v>184</v>
      </c>
      <c r="E7" s="108">
        <f>B40</f>
        <v>2130</v>
      </c>
      <c r="F7" s="108">
        <f>B40</f>
        <v>2130</v>
      </c>
      <c r="G7" s="108">
        <f>B40</f>
        <v>2130</v>
      </c>
      <c r="H7" s="108">
        <f>B40</f>
        <v>2130</v>
      </c>
      <c r="I7" s="108">
        <f>B40</f>
        <v>2130</v>
      </c>
      <c r="J7" s="55"/>
    </row>
    <row r="8">
      <c r="A8" s="61" t="s">
        <v>185</v>
      </c>
      <c r="B8" s="61">
        <v>1829.0</v>
      </c>
      <c r="C8" s="55"/>
      <c r="D8" s="107" t="s">
        <v>186</v>
      </c>
      <c r="E8" s="110">
        <f t="shared" ref="E8:I8" si="1">SUM(E2:E7)</f>
        <v>35400</v>
      </c>
      <c r="F8" s="110">
        <f t="shared" si="1"/>
        <v>60390</v>
      </c>
      <c r="G8" s="110">
        <f t="shared" si="1"/>
        <v>66360</v>
      </c>
      <c r="H8" s="110">
        <f t="shared" si="1"/>
        <v>78300</v>
      </c>
      <c r="I8" s="110">
        <f t="shared" si="1"/>
        <v>102180</v>
      </c>
      <c r="J8" s="111"/>
    </row>
    <row r="9">
      <c r="A9" s="55"/>
      <c r="B9" s="55"/>
      <c r="C9" s="55"/>
      <c r="D9" s="107" t="s">
        <v>187</v>
      </c>
      <c r="E9" s="110">
        <f t="shared" ref="E9:I9" si="2">E8/12</f>
        <v>2950</v>
      </c>
      <c r="F9" s="110">
        <f t="shared" si="2"/>
        <v>5032.5</v>
      </c>
      <c r="G9" s="110">
        <f t="shared" si="2"/>
        <v>5530</v>
      </c>
      <c r="H9" s="110">
        <f t="shared" si="2"/>
        <v>6525</v>
      </c>
      <c r="I9" s="110">
        <f t="shared" si="2"/>
        <v>8515</v>
      </c>
      <c r="J9" s="55"/>
    </row>
    <row r="10">
      <c r="A10" s="61" t="s">
        <v>176</v>
      </c>
      <c r="B10" s="55"/>
      <c r="C10" s="55"/>
      <c r="D10" s="107" t="s">
        <v>188</v>
      </c>
      <c r="E10" s="110">
        <f t="shared" ref="E10:I10" si="3">E8/52</f>
        <v>680.7692308</v>
      </c>
      <c r="F10" s="110">
        <f t="shared" si="3"/>
        <v>1161.346154</v>
      </c>
      <c r="G10" s="110">
        <f t="shared" si="3"/>
        <v>1276.153846</v>
      </c>
      <c r="H10" s="110">
        <f t="shared" si="3"/>
        <v>1505.769231</v>
      </c>
      <c r="I10" s="110">
        <f t="shared" si="3"/>
        <v>1965</v>
      </c>
      <c r="J10" s="55"/>
    </row>
    <row r="11">
      <c r="A11" s="112" t="s">
        <v>189</v>
      </c>
      <c r="B11" s="113">
        <v>0.045</v>
      </c>
      <c r="C11" s="114"/>
      <c r="D11" s="107" t="s">
        <v>190</v>
      </c>
      <c r="E11" s="110">
        <f>E8/B8</f>
        <v>19.35483871</v>
      </c>
      <c r="F11" s="110">
        <f>F8/B8</f>
        <v>33.01804265</v>
      </c>
      <c r="G11" s="110">
        <f>G8/B8</f>
        <v>36.28212138</v>
      </c>
      <c r="H11" s="110">
        <f>H8/B8</f>
        <v>42.81027884</v>
      </c>
      <c r="I11" s="110">
        <f>I8/B8</f>
        <v>55.86659377</v>
      </c>
      <c r="J11" s="55"/>
    </row>
    <row r="12">
      <c r="A12" s="112" t="s">
        <v>191</v>
      </c>
      <c r="B12" s="113">
        <v>0.02</v>
      </c>
      <c r="C12" s="114"/>
      <c r="D12" s="115" t="s">
        <v>192</v>
      </c>
      <c r="E12" s="110">
        <f t="shared" ref="E12:I12" si="4">E11*1.6</f>
        <v>30.96774194</v>
      </c>
      <c r="F12" s="110">
        <f t="shared" si="4"/>
        <v>52.82886823</v>
      </c>
      <c r="G12" s="110">
        <f t="shared" si="4"/>
        <v>58.0513942</v>
      </c>
      <c r="H12" s="110">
        <f t="shared" si="4"/>
        <v>68.49644615</v>
      </c>
      <c r="I12" s="110">
        <f t="shared" si="4"/>
        <v>89.38655003</v>
      </c>
      <c r="J12" s="116"/>
    </row>
    <row r="13">
      <c r="A13" s="117"/>
      <c r="B13" s="118">
        <f>SUM(B11:B12)</f>
        <v>0.065</v>
      </c>
      <c r="C13" s="114"/>
      <c r="D13" s="119" t="s">
        <v>193</v>
      </c>
      <c r="E13" s="120">
        <f t="shared" ref="E13:I13" si="5">E9/E12</f>
        <v>95.26041667</v>
      </c>
      <c r="F13" s="120">
        <f t="shared" si="5"/>
        <v>95.26041667</v>
      </c>
      <c r="G13" s="120">
        <f t="shared" si="5"/>
        <v>95.26041667</v>
      </c>
      <c r="H13" s="120">
        <f t="shared" si="5"/>
        <v>95.26041667</v>
      </c>
      <c r="I13" s="120">
        <f t="shared" si="5"/>
        <v>95.26041667</v>
      </c>
      <c r="J13" s="116"/>
    </row>
    <row r="14">
      <c r="A14" s="55"/>
      <c r="B14" s="55"/>
      <c r="C14" s="55"/>
      <c r="D14" s="119" t="s">
        <v>194</v>
      </c>
      <c r="E14" s="120">
        <f t="shared" ref="E14:I14" si="6">E10/E12</f>
        <v>21.98317308</v>
      </c>
      <c r="F14" s="120">
        <f t="shared" si="6"/>
        <v>21.98317308</v>
      </c>
      <c r="G14" s="120">
        <f t="shared" si="6"/>
        <v>21.98317308</v>
      </c>
      <c r="H14" s="120">
        <f t="shared" si="6"/>
        <v>21.98317308</v>
      </c>
      <c r="I14" s="120">
        <f t="shared" si="6"/>
        <v>21.98317308</v>
      </c>
      <c r="J14" s="116"/>
    </row>
    <row r="15">
      <c r="A15" s="121" t="s">
        <v>178</v>
      </c>
      <c r="B15" s="122"/>
      <c r="C15" s="114"/>
      <c r="D15" s="55"/>
      <c r="E15" s="55"/>
      <c r="F15" s="55"/>
      <c r="G15" s="55"/>
      <c r="H15" s="55"/>
      <c r="I15" s="55"/>
      <c r="J15" s="116"/>
    </row>
    <row r="16">
      <c r="A16" s="112" t="s">
        <v>195</v>
      </c>
      <c r="B16" s="113">
        <v>0.0765</v>
      </c>
      <c r="C16" s="114"/>
      <c r="D16" s="107" t="s">
        <v>196</v>
      </c>
      <c r="E16" s="111">
        <v>0.0</v>
      </c>
      <c r="F16" s="111" t="s">
        <v>197</v>
      </c>
      <c r="G16" s="123">
        <v>44200.0</v>
      </c>
      <c r="H16" s="123">
        <v>44292.0</v>
      </c>
      <c r="I16" s="111" t="s">
        <v>198</v>
      </c>
      <c r="J16" s="116"/>
    </row>
    <row r="17">
      <c r="A17" s="112" t="s">
        <v>199</v>
      </c>
      <c r="B17" s="113">
        <v>0.0035</v>
      </c>
      <c r="C17" s="114"/>
      <c r="D17" s="124"/>
      <c r="E17" s="124"/>
      <c r="F17" s="124"/>
      <c r="G17" s="124"/>
      <c r="H17" s="124"/>
      <c r="I17" s="124"/>
      <c r="J17" s="116"/>
    </row>
    <row r="18">
      <c r="A18" s="112" t="s">
        <v>200</v>
      </c>
      <c r="B18" s="113">
        <v>0.029</v>
      </c>
      <c r="C18" s="55"/>
      <c r="D18" s="124"/>
      <c r="E18" s="124"/>
      <c r="F18" s="124"/>
      <c r="G18" s="124"/>
      <c r="H18" s="124"/>
      <c r="I18" s="124"/>
      <c r="J18" s="116"/>
    </row>
    <row r="19">
      <c r="A19" s="55"/>
      <c r="B19" s="118">
        <f>SUM(B16:B18)</f>
        <v>0.109</v>
      </c>
      <c r="C19" s="55"/>
      <c r="D19" s="124"/>
      <c r="E19" s="124"/>
      <c r="F19" s="124"/>
      <c r="G19" s="124"/>
      <c r="H19" s="124"/>
      <c r="I19" s="124"/>
      <c r="J19" s="116"/>
    </row>
    <row r="20">
      <c r="A20" s="55"/>
      <c r="B20" s="55"/>
      <c r="C20" s="55"/>
      <c r="D20" s="124"/>
      <c r="E20" s="124"/>
      <c r="F20" s="124"/>
      <c r="G20" s="124"/>
      <c r="H20" s="124"/>
      <c r="I20" s="124"/>
      <c r="J20" s="116"/>
    </row>
    <row r="21">
      <c r="A21" s="55"/>
      <c r="B21" s="55"/>
      <c r="C21" s="55"/>
      <c r="D21" s="124"/>
      <c r="E21" s="124"/>
      <c r="F21" s="124"/>
      <c r="G21" s="124"/>
      <c r="H21" s="124"/>
      <c r="I21" s="124"/>
      <c r="J21" s="116"/>
    </row>
    <row r="22">
      <c r="A22" s="121" t="s">
        <v>180</v>
      </c>
      <c r="B22" s="122"/>
      <c r="C22" s="114"/>
      <c r="D22" s="124"/>
      <c r="E22" s="124"/>
      <c r="F22" s="124"/>
      <c r="G22" s="124"/>
      <c r="H22" s="124"/>
      <c r="I22" s="124"/>
      <c r="J22" s="116"/>
    </row>
    <row r="23">
      <c r="A23" s="112" t="s">
        <v>201</v>
      </c>
      <c r="B23" s="113">
        <v>0.02</v>
      </c>
      <c r="C23" s="114"/>
      <c r="D23" s="124"/>
      <c r="E23" s="124"/>
      <c r="F23" s="124"/>
      <c r="G23" s="124"/>
      <c r="H23" s="124"/>
      <c r="I23" s="124"/>
      <c r="J23" s="125"/>
    </row>
    <row r="24">
      <c r="A24" s="112" t="s">
        <v>202</v>
      </c>
      <c r="B24" s="126">
        <v>5000.0</v>
      </c>
      <c r="C24" s="55"/>
      <c r="D24" s="124"/>
      <c r="E24" s="124"/>
      <c r="F24" s="124"/>
      <c r="G24" s="124"/>
      <c r="H24" s="124"/>
      <c r="I24" s="124"/>
      <c r="J24" s="125"/>
    </row>
    <row r="25">
      <c r="A25" s="112" t="s">
        <v>203</v>
      </c>
      <c r="B25" s="126">
        <v>3000.0</v>
      </c>
      <c r="C25" s="55"/>
      <c r="D25" s="124"/>
      <c r="E25" s="124"/>
      <c r="F25" s="124"/>
      <c r="G25" s="124"/>
      <c r="H25" s="124"/>
      <c r="I25" s="124"/>
      <c r="J25" s="117"/>
    </row>
    <row r="26">
      <c r="A26" s="112" t="s">
        <v>204</v>
      </c>
      <c r="B26" s="126">
        <v>1500.0</v>
      </c>
      <c r="C26" s="55"/>
      <c r="D26" s="124"/>
      <c r="E26" s="124"/>
      <c r="F26" s="124"/>
      <c r="G26" s="124"/>
      <c r="H26" s="124"/>
      <c r="I26" s="124"/>
      <c r="J26" s="55"/>
    </row>
    <row r="27">
      <c r="A27" s="112" t="s">
        <v>205</v>
      </c>
      <c r="B27" s="126">
        <v>1000.0</v>
      </c>
      <c r="C27" s="55"/>
      <c r="D27" s="127" t="s">
        <v>206</v>
      </c>
      <c r="E27" s="55"/>
      <c r="F27" s="55"/>
      <c r="G27" s="55"/>
      <c r="H27" s="55"/>
      <c r="I27" s="55"/>
      <c r="J27" s="55"/>
    </row>
    <row r="28">
      <c r="A28" s="55"/>
      <c r="B28" s="128">
        <f>SUM(B24:B27)</f>
        <v>10500</v>
      </c>
      <c r="C28" s="55"/>
      <c r="D28" s="55"/>
      <c r="E28" s="55"/>
      <c r="F28" s="55"/>
      <c r="G28" s="55"/>
      <c r="H28" s="55"/>
      <c r="I28" s="55"/>
      <c r="J28" s="55"/>
    </row>
    <row r="29">
      <c r="A29" s="55"/>
      <c r="B29" s="55"/>
      <c r="C29" s="55"/>
      <c r="D29" s="55"/>
      <c r="E29" s="116"/>
      <c r="F29" s="116"/>
      <c r="G29" s="55"/>
      <c r="H29" s="55"/>
      <c r="I29" s="55"/>
      <c r="J29" s="55"/>
    </row>
    <row r="30">
      <c r="A30" s="61" t="s">
        <v>184</v>
      </c>
      <c r="B30" s="55"/>
      <c r="C30" s="55"/>
      <c r="D30" s="55"/>
      <c r="E30" s="116"/>
      <c r="F30" s="116"/>
      <c r="G30" s="55"/>
      <c r="H30" s="55"/>
      <c r="I30" s="55"/>
      <c r="J30" s="55"/>
    </row>
    <row r="31">
      <c r="A31" s="55" t="s">
        <v>207</v>
      </c>
      <c r="B31" s="116">
        <v>1200.0</v>
      </c>
      <c r="C31" s="55"/>
      <c r="D31" s="55"/>
      <c r="E31" s="116"/>
      <c r="F31" s="55"/>
      <c r="G31" s="55"/>
      <c r="H31" s="55"/>
      <c r="I31" s="55"/>
      <c r="J31" s="55"/>
    </row>
    <row r="32">
      <c r="A32" s="55" t="s">
        <v>208</v>
      </c>
      <c r="B32" s="116">
        <v>0.0</v>
      </c>
      <c r="C32" s="55"/>
      <c r="D32" s="55"/>
      <c r="E32" s="55"/>
      <c r="F32" s="55"/>
      <c r="G32" s="55"/>
      <c r="H32" s="55"/>
      <c r="I32" s="55"/>
      <c r="J32" s="55"/>
    </row>
    <row r="33">
      <c r="A33" s="55" t="s">
        <v>209</v>
      </c>
      <c r="B33" s="116">
        <v>0.0</v>
      </c>
      <c r="C33" s="55"/>
      <c r="D33" s="55"/>
      <c r="E33" s="55"/>
      <c r="F33" s="55"/>
      <c r="G33" s="55"/>
      <c r="H33" s="55"/>
      <c r="I33" s="55"/>
      <c r="J33" s="55"/>
    </row>
    <row r="34">
      <c r="A34" s="55" t="s">
        <v>210</v>
      </c>
      <c r="B34" s="116">
        <f>25*12</f>
        <v>300</v>
      </c>
      <c r="C34" s="55"/>
      <c r="D34" s="55"/>
      <c r="E34" s="55"/>
      <c r="F34" s="55"/>
      <c r="G34" s="55"/>
      <c r="H34" s="55"/>
      <c r="I34" s="55"/>
      <c r="J34" s="55"/>
    </row>
    <row r="35">
      <c r="A35" s="55" t="s">
        <v>211</v>
      </c>
      <c r="B35" s="116">
        <v>0.0</v>
      </c>
      <c r="C35" s="55"/>
      <c r="D35" s="55"/>
      <c r="E35" s="55"/>
      <c r="F35" s="55"/>
      <c r="G35" s="55"/>
      <c r="H35" s="55"/>
      <c r="I35" s="55"/>
      <c r="J35" s="55"/>
    </row>
    <row r="36">
      <c r="A36" s="55" t="s">
        <v>212</v>
      </c>
      <c r="B36" s="116">
        <f>25*12</f>
        <v>300</v>
      </c>
      <c r="C36" s="55"/>
      <c r="D36" s="55"/>
      <c r="E36" s="55"/>
      <c r="F36" s="55"/>
      <c r="G36" s="55"/>
      <c r="H36" s="55"/>
      <c r="I36" s="55"/>
      <c r="J36" s="55"/>
    </row>
    <row r="37">
      <c r="A37" s="55" t="s">
        <v>213</v>
      </c>
      <c r="B37" s="116">
        <f>20*12</f>
        <v>240</v>
      </c>
      <c r="C37" s="55"/>
      <c r="D37" s="55"/>
      <c r="E37" s="55"/>
      <c r="F37" s="55"/>
      <c r="G37" s="55"/>
      <c r="H37" s="55"/>
      <c r="I37" s="55"/>
      <c r="J37" s="55"/>
    </row>
    <row r="38">
      <c r="A38" s="55" t="s">
        <v>214</v>
      </c>
      <c r="B38" s="116"/>
      <c r="C38" s="55"/>
      <c r="D38" s="55"/>
      <c r="E38" s="55"/>
      <c r="F38" s="55"/>
      <c r="G38" s="55"/>
      <c r="H38" s="55"/>
      <c r="I38" s="55"/>
      <c r="J38" s="55"/>
    </row>
    <row r="39">
      <c r="A39" s="129" t="s">
        <v>215</v>
      </c>
      <c r="B39" s="130">
        <v>90.0</v>
      </c>
      <c r="C39" s="55"/>
      <c r="D39" s="55"/>
      <c r="E39" s="55"/>
      <c r="F39" s="55"/>
      <c r="G39" s="55"/>
      <c r="H39" s="55"/>
      <c r="I39" s="55"/>
      <c r="J39" s="55"/>
    </row>
    <row r="40">
      <c r="A40" s="55"/>
      <c r="B40" s="128">
        <f>SUM(B31:B39)</f>
        <v>2130</v>
      </c>
      <c r="C40" s="55"/>
      <c r="D40" s="55"/>
      <c r="E40" s="55"/>
      <c r="F40" s="55"/>
      <c r="G40" s="55"/>
      <c r="H40" s="55"/>
      <c r="I40" s="55"/>
      <c r="J40" s="55"/>
    </row>
    <row r="41">
      <c r="A41" s="55"/>
      <c r="B41" s="55"/>
      <c r="C41" s="55"/>
      <c r="D41" s="55"/>
      <c r="E41" s="55"/>
      <c r="F41" s="55"/>
      <c r="G41" s="55"/>
      <c r="H41" s="55"/>
      <c r="I41" s="55"/>
      <c r="J41" s="55"/>
    </row>
    <row r="42">
      <c r="A42" s="55"/>
      <c r="B42" s="55"/>
      <c r="C42" s="55"/>
      <c r="D42" s="55"/>
      <c r="E42" s="55"/>
      <c r="F42" s="55"/>
      <c r="G42" s="55"/>
      <c r="H42" s="55"/>
      <c r="I42" s="55"/>
      <c r="J42" s="55"/>
    </row>
    <row r="43">
      <c r="A43" s="61" t="s">
        <v>216</v>
      </c>
      <c r="B43" s="55"/>
      <c r="C43" s="55"/>
      <c r="D43" s="55"/>
      <c r="E43" s="55"/>
      <c r="F43" s="55"/>
      <c r="G43" s="55"/>
      <c r="H43" s="55"/>
      <c r="I43" s="55"/>
      <c r="J43" s="55"/>
    </row>
    <row r="44">
      <c r="A44" s="55" t="s">
        <v>217</v>
      </c>
      <c r="B44" s="55" t="s">
        <v>206</v>
      </c>
      <c r="C44" s="108">
        <v>12.0</v>
      </c>
      <c r="D44" s="131" t="s">
        <v>218</v>
      </c>
      <c r="E44" s="55"/>
      <c r="F44" s="55"/>
      <c r="G44" s="55"/>
      <c r="H44" s="55"/>
      <c r="I44" s="55"/>
      <c r="J44" s="55"/>
    </row>
    <row r="45">
      <c r="A45" s="55" t="s">
        <v>219</v>
      </c>
      <c r="B45" s="55" t="s">
        <v>220</v>
      </c>
      <c r="C45" s="108">
        <v>12.0</v>
      </c>
      <c r="D45" s="107" t="s">
        <v>221</v>
      </c>
      <c r="E45" s="55"/>
      <c r="F45" s="55"/>
      <c r="G45" s="55"/>
      <c r="H45" s="55"/>
      <c r="I45" s="55"/>
      <c r="J45" s="55"/>
    </row>
    <row r="46">
      <c r="A46" s="55" t="s">
        <v>222</v>
      </c>
      <c r="B46" s="55" t="s">
        <v>223</v>
      </c>
      <c r="C46" s="108">
        <v>90.0</v>
      </c>
      <c r="D46" s="107" t="s">
        <v>224</v>
      </c>
      <c r="E46" s="55"/>
      <c r="F46" s="55"/>
      <c r="G46" s="55"/>
      <c r="H46" s="55"/>
      <c r="I46" s="55"/>
      <c r="J46" s="55"/>
    </row>
    <row r="47">
      <c r="A47" s="61" t="s">
        <v>225</v>
      </c>
      <c r="B47" s="61" t="s">
        <v>226</v>
      </c>
      <c r="C47" s="110">
        <f>SUM(C44:C46)</f>
        <v>114</v>
      </c>
      <c r="D47" s="55"/>
      <c r="E47" s="55"/>
      <c r="F47" s="55"/>
      <c r="G47" s="60"/>
      <c r="H47" s="110"/>
      <c r="I47" s="55"/>
      <c r="J47" s="55"/>
    </row>
    <row r="48">
      <c r="A48" s="55"/>
      <c r="B48" s="55"/>
      <c r="C48" s="55"/>
      <c r="D48" s="55"/>
      <c r="E48" s="55"/>
      <c r="F48" s="55"/>
      <c r="G48" s="55"/>
      <c r="H48" s="55"/>
      <c r="I48" s="55"/>
      <c r="J48" s="55"/>
    </row>
    <row r="49">
      <c r="A49" s="55"/>
      <c r="B49" s="55"/>
      <c r="C49" s="55"/>
      <c r="D49" s="55"/>
      <c r="E49" s="55"/>
      <c r="F49" s="55"/>
      <c r="G49" s="55"/>
      <c r="H49" s="55"/>
      <c r="I49" s="55"/>
      <c r="J49" s="5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2025-12-31T03:20:53Z</dcterms:created>
  <dc:creator>openpyxl</dc:creator>
</cp:coreProperties>
</file>